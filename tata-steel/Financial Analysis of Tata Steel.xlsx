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13_ncr:1_{10A83D31-4DFC-460F-9402-1B6AC49C6BD7}" xr6:coauthVersionLast="47" xr6:coauthVersionMax="47" xr10:uidLastSave="{00000000-0000-0000-0000-000000000000}"/>
  <bookViews>
    <workbookView xWindow="-110" yWindow="-110" windowWidth="19420" windowHeight="10300" firstSheet="14" activeTab="16" xr2:uid="{00000000-000D-0000-FFFF-FFFF00000000}"/>
  </bookViews>
  <sheets>
    <sheet name="Cover Page " sheetId="22" r:id="rId1"/>
    <sheet name="Key Financial Metric " sheetId="23" r:id="rId2"/>
    <sheet name="Historical " sheetId="35" r:id="rId3"/>
    <sheet name="Ratio Analysis " sheetId="21" r:id="rId4"/>
    <sheet name="Beneish -M Score " sheetId="26" r:id="rId5"/>
    <sheet name="Comparative Income Statement " sheetId="7" r:id="rId6"/>
    <sheet name="Comparative Balance Sheet  " sheetId="9" r:id="rId7"/>
    <sheet name="Common Balance Sheet" sheetId="37" r:id="rId8"/>
    <sheet name="Common Income Statement" sheetId="36" r:id="rId9"/>
    <sheet name="Altman's scroe" sheetId="12" r:id="rId10"/>
    <sheet name="Dupont Analysis" sheetId="13" r:id="rId11"/>
    <sheet name="Assumption and Drivers" sheetId="17" r:id="rId12"/>
    <sheet name="Forecasted Cash Flow " sheetId="31" r:id="rId13"/>
    <sheet name="Forcasted Balance Sheet " sheetId="30" r:id="rId14"/>
    <sheet name="Forecasted Income Statement " sheetId="29" r:id="rId15"/>
    <sheet name="Relative Valuation " sheetId="14" r:id="rId16"/>
    <sheet name="WACC" sheetId="15" r:id="rId17"/>
    <sheet name="Inputs" sheetId="19" r:id="rId18"/>
    <sheet name="DCF" sheetId="18" r:id="rId19"/>
    <sheet name="Football Feild Analysis" sheetId="20" r:id="rId20"/>
    <sheet name="Data Room" sheetId="32" r:id="rId21"/>
    <sheet name="Sheet3" sheetId="24" r:id="rId22"/>
    <sheet name="Profit &amp; Loss" sheetId="1" r:id="rId23"/>
    <sheet name="Quarters" sheetId="3" r:id="rId24"/>
    <sheet name="Balance Sheet" sheetId="2" r:id="rId25"/>
    <sheet name="Cash Flow" sheetId="4" r:id="rId26"/>
    <sheet name="Customization" sheetId="5" r:id="rId27"/>
    <sheet name="Data Sheet" sheetId="6" r:id="rId28"/>
    <sheet name="Cash Flow " sheetId="33" r:id="rId29"/>
  </sheets>
  <externalReferences>
    <externalReference r:id="rId30"/>
    <externalReference r:id="rId31"/>
    <externalReference r:id="rId32"/>
  </externalReferences>
  <definedNames>
    <definedName name="UPDATE">'Data Sheet'!$E$1</definedName>
  </definedNames>
  <calcPr calcId="191029" iterate="1"/>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7" i="21" l="1"/>
  <c r="G67" i="21"/>
  <c r="F67" i="21"/>
  <c r="E67" i="21"/>
  <c r="D67" i="21"/>
  <c r="H66" i="21"/>
  <c r="G66" i="21"/>
  <c r="F66" i="21"/>
  <c r="E66" i="21"/>
  <c r="D66" i="21"/>
  <c r="H65" i="21"/>
  <c r="G65" i="21"/>
  <c r="F65" i="21"/>
  <c r="E65" i="21"/>
  <c r="D65" i="21"/>
  <c r="G40" i="21"/>
  <c r="F40" i="21"/>
  <c r="E40" i="21"/>
  <c r="D40" i="21"/>
  <c r="C40" i="21"/>
  <c r="G39" i="21"/>
  <c r="F39" i="21"/>
  <c r="E39" i="21"/>
  <c r="D39" i="21"/>
  <c r="C39" i="21"/>
  <c r="G38" i="21"/>
  <c r="F38" i="21"/>
  <c r="E38" i="21"/>
  <c r="D38" i="21"/>
  <c r="C38" i="21"/>
  <c r="G37" i="21"/>
  <c r="F37" i="21"/>
  <c r="E37" i="21"/>
  <c r="D37" i="21"/>
  <c r="C37" i="21"/>
  <c r="F41" i="26" l="1"/>
  <c r="G16" i="26"/>
  <c r="F16" i="26"/>
  <c r="F6" i="14"/>
  <c r="E48" i="13"/>
  <c r="F48" i="13"/>
  <c r="G48" i="13"/>
  <c r="H48" i="13"/>
  <c r="F31" i="12"/>
  <c r="G31" i="12"/>
  <c r="H31" i="12"/>
  <c r="E31" i="12"/>
  <c r="B17" i="37"/>
  <c r="B14" i="37"/>
  <c r="B11" i="37"/>
  <c r="B8" i="37"/>
  <c r="I6" i="37"/>
  <c r="H6" i="37"/>
  <c r="G6" i="37"/>
  <c r="F6" i="37"/>
  <c r="E6" i="37"/>
  <c r="I23" i="36"/>
  <c r="H23" i="36"/>
  <c r="G23" i="36"/>
  <c r="F23" i="36"/>
  <c r="E23" i="36"/>
  <c r="B8" i="36"/>
  <c r="I6" i="36"/>
  <c r="H6" i="36"/>
  <c r="G6" i="36"/>
  <c r="F6" i="36"/>
  <c r="E6" i="36"/>
  <c r="C85" i="35"/>
  <c r="C75" i="35"/>
  <c r="C60" i="35"/>
  <c r="C62" i="35" s="1"/>
  <c r="C87" i="35" l="1"/>
  <c r="B54" i="35" l="1"/>
  <c r="D54" i="35"/>
  <c r="E54" i="35"/>
  <c r="F54" i="35"/>
  <c r="G54" i="35"/>
  <c r="H54" i="35"/>
  <c r="B55" i="35"/>
  <c r="D55" i="35"/>
  <c r="E55" i="35"/>
  <c r="F55" i="35"/>
  <c r="G55" i="35"/>
  <c r="H55" i="35"/>
  <c r="B56" i="35"/>
  <c r="D56" i="35"/>
  <c r="E56" i="35"/>
  <c r="F56" i="35"/>
  <c r="G56" i="35"/>
  <c r="H56" i="35"/>
  <c r="B57" i="35"/>
  <c r="D57" i="35"/>
  <c r="E57" i="35"/>
  <c r="F57" i="35"/>
  <c r="G57" i="35"/>
  <c r="H57" i="35"/>
  <c r="B59" i="35"/>
  <c r="D59" i="35"/>
  <c r="E59" i="35"/>
  <c r="F59" i="35"/>
  <c r="G59" i="35"/>
  <c r="H59" i="35"/>
  <c r="B60" i="35"/>
  <c r="B65" i="35"/>
  <c r="D65" i="35"/>
  <c r="E65" i="35"/>
  <c r="F65" i="35"/>
  <c r="G65" i="35"/>
  <c r="H65" i="35"/>
  <c r="B66" i="35"/>
  <c r="D66" i="35"/>
  <c r="E66" i="35"/>
  <c r="F66" i="35"/>
  <c r="G66" i="35"/>
  <c r="H66" i="35"/>
  <c r="B67" i="35"/>
  <c r="D67" i="35"/>
  <c r="E67" i="35"/>
  <c r="F67" i="35"/>
  <c r="G67" i="35"/>
  <c r="H67" i="35"/>
  <c r="B68" i="35"/>
  <c r="D68" i="35"/>
  <c r="E68" i="35"/>
  <c r="F68" i="35"/>
  <c r="G68" i="35"/>
  <c r="H68" i="35"/>
  <c r="B69" i="35"/>
  <c r="D69" i="35"/>
  <c r="E69" i="35"/>
  <c r="F69" i="35"/>
  <c r="G69" i="35"/>
  <c r="H69" i="35"/>
  <c r="B70" i="35"/>
  <c r="D70" i="35"/>
  <c r="E70" i="35"/>
  <c r="F70" i="35"/>
  <c r="G70" i="35"/>
  <c r="H70" i="35"/>
  <c r="B71" i="35"/>
  <c r="D71" i="35"/>
  <c r="E71" i="35"/>
  <c r="F71" i="35"/>
  <c r="G71" i="35"/>
  <c r="H71" i="35"/>
  <c r="B72" i="35"/>
  <c r="D72" i="35"/>
  <c r="E72" i="35"/>
  <c r="F72" i="35"/>
  <c r="G72" i="35"/>
  <c r="H72" i="35"/>
  <c r="B73" i="35"/>
  <c r="D73" i="35"/>
  <c r="E73" i="35"/>
  <c r="F73" i="35"/>
  <c r="G73" i="35"/>
  <c r="H73" i="35"/>
  <c r="B74" i="35"/>
  <c r="D74" i="35"/>
  <c r="E74" i="35"/>
  <c r="F74" i="35"/>
  <c r="G74" i="35"/>
  <c r="H74" i="35"/>
  <c r="B78" i="35"/>
  <c r="D78" i="35"/>
  <c r="E78" i="35"/>
  <c r="F78" i="35"/>
  <c r="G78" i="35"/>
  <c r="H78" i="35"/>
  <c r="B79" i="35"/>
  <c r="D79" i="35"/>
  <c r="E79" i="35"/>
  <c r="F79" i="35"/>
  <c r="G79" i="35"/>
  <c r="H79" i="35"/>
  <c r="B80" i="35"/>
  <c r="D80" i="35"/>
  <c r="E80" i="35"/>
  <c r="F80" i="35"/>
  <c r="G80" i="35"/>
  <c r="H80" i="35"/>
  <c r="B81" i="35"/>
  <c r="D81" i="35"/>
  <c r="E81" i="35"/>
  <c r="F81" i="35"/>
  <c r="G81" i="35"/>
  <c r="H81" i="35"/>
  <c r="B82" i="35"/>
  <c r="D82" i="35"/>
  <c r="E82" i="35"/>
  <c r="F82" i="35"/>
  <c r="G82" i="35"/>
  <c r="H82" i="35"/>
  <c r="B83" i="35"/>
  <c r="D83" i="35"/>
  <c r="E83" i="35"/>
  <c r="F83" i="35"/>
  <c r="G83" i="35"/>
  <c r="H83" i="35"/>
  <c r="B84" i="35"/>
  <c r="D84" i="35"/>
  <c r="E84" i="35"/>
  <c r="F84" i="35"/>
  <c r="G84" i="35"/>
  <c r="H84" i="35"/>
  <c r="B87" i="35"/>
  <c r="H43" i="35"/>
  <c r="G43" i="35"/>
  <c r="F43" i="35"/>
  <c r="E43" i="35"/>
  <c r="D43" i="35"/>
  <c r="C43" i="35"/>
  <c r="H42" i="35"/>
  <c r="G42" i="35"/>
  <c r="F42" i="35"/>
  <c r="E42" i="35"/>
  <c r="D42" i="35"/>
  <c r="E41" i="37" s="1"/>
  <c r="C42" i="35"/>
  <c r="D41" i="37" s="1"/>
  <c r="H41" i="35"/>
  <c r="G41" i="35"/>
  <c r="F41" i="35"/>
  <c r="E41" i="35"/>
  <c r="D41" i="35"/>
  <c r="C41" i="35"/>
  <c r="H38" i="35"/>
  <c r="G38" i="35"/>
  <c r="F38" i="35"/>
  <c r="E38" i="35"/>
  <c r="D38" i="35"/>
  <c r="C38" i="35"/>
  <c r="H37" i="35"/>
  <c r="G37" i="35"/>
  <c r="F37" i="35"/>
  <c r="E37" i="35"/>
  <c r="D37" i="35"/>
  <c r="C37" i="35"/>
  <c r="H36" i="35"/>
  <c r="G36" i="35"/>
  <c r="F36" i="35"/>
  <c r="E36" i="35"/>
  <c r="D36" i="35"/>
  <c r="C36" i="35"/>
  <c r="H35" i="35"/>
  <c r="G35" i="35"/>
  <c r="F35" i="35"/>
  <c r="G26" i="37" s="1"/>
  <c r="E35" i="35"/>
  <c r="D35" i="35"/>
  <c r="C35" i="35"/>
  <c r="H32" i="35"/>
  <c r="G32" i="35"/>
  <c r="F32" i="35"/>
  <c r="E32" i="35"/>
  <c r="D32" i="35"/>
  <c r="C32" i="35"/>
  <c r="H31" i="35"/>
  <c r="G31" i="35"/>
  <c r="F31" i="35"/>
  <c r="E31" i="35"/>
  <c r="D31" i="35"/>
  <c r="C31" i="35"/>
  <c r="H30" i="35"/>
  <c r="G30" i="35"/>
  <c r="F30" i="35"/>
  <c r="E30" i="35"/>
  <c r="D30" i="35"/>
  <c r="C30" i="35"/>
  <c r="H29" i="35"/>
  <c r="G29" i="35"/>
  <c r="F29" i="35"/>
  <c r="E29" i="35"/>
  <c r="D29" i="35"/>
  <c r="C29" i="35"/>
  <c r="H28" i="35"/>
  <c r="G28" i="35"/>
  <c r="F28" i="35"/>
  <c r="E28" i="35"/>
  <c r="D28" i="35"/>
  <c r="C28" i="35"/>
  <c r="D11" i="37" s="1"/>
  <c r="H27" i="35"/>
  <c r="I8" i="37" s="1"/>
  <c r="G27" i="35"/>
  <c r="H8" i="37" s="1"/>
  <c r="F27" i="35"/>
  <c r="G8" i="37" s="1"/>
  <c r="E27" i="35"/>
  <c r="F8" i="37" s="1"/>
  <c r="D27" i="35"/>
  <c r="E8" i="37" s="1"/>
  <c r="C27" i="35"/>
  <c r="D8" i="37" s="1"/>
  <c r="H20" i="35"/>
  <c r="G20" i="35"/>
  <c r="F20" i="35"/>
  <c r="E20" i="35"/>
  <c r="D20" i="35"/>
  <c r="C20" i="35"/>
  <c r="H18" i="35"/>
  <c r="G18" i="35"/>
  <c r="F18" i="35"/>
  <c r="E18" i="35"/>
  <c r="D18" i="35"/>
  <c r="C18" i="35"/>
  <c r="H16" i="35"/>
  <c r="I35" i="36" s="1"/>
  <c r="G16" i="35"/>
  <c r="H35" i="36" s="1"/>
  <c r="F16" i="35"/>
  <c r="G35" i="36" s="1"/>
  <c r="E16" i="35"/>
  <c r="F35" i="36" s="1"/>
  <c r="D16" i="35"/>
  <c r="E35" i="36" s="1"/>
  <c r="C16" i="35"/>
  <c r="D35" i="36" s="1"/>
  <c r="H14" i="35"/>
  <c r="I29" i="36" s="1"/>
  <c r="G14" i="35"/>
  <c r="H29" i="36" s="1"/>
  <c r="F14" i="35"/>
  <c r="G29" i="36" s="1"/>
  <c r="E14" i="35"/>
  <c r="F29" i="36" s="1"/>
  <c r="D14" i="35"/>
  <c r="E29" i="36" s="1"/>
  <c r="E30" i="36" s="1"/>
  <c r="C14" i="35"/>
  <c r="D29" i="36" s="1"/>
  <c r="D30" i="36" s="1"/>
  <c r="H13" i="35"/>
  <c r="G13" i="35"/>
  <c r="F13" i="35"/>
  <c r="G26" i="36" s="1"/>
  <c r="E13" i="35"/>
  <c r="F26" i="36" s="1"/>
  <c r="D13" i="35"/>
  <c r="E26" i="36" s="1"/>
  <c r="C13" i="35"/>
  <c r="D26" i="36" s="1"/>
  <c r="H12" i="35"/>
  <c r="G12" i="35"/>
  <c r="F12" i="35"/>
  <c r="E12" i="35"/>
  <c r="D12" i="35"/>
  <c r="C12" i="35"/>
  <c r="D23" i="36" s="1"/>
  <c r="D24" i="36" s="1"/>
  <c r="H10" i="35"/>
  <c r="G10" i="35"/>
  <c r="F10" i="35"/>
  <c r="G17" i="36" s="1"/>
  <c r="E10" i="35"/>
  <c r="F17" i="36" s="1"/>
  <c r="D10" i="35"/>
  <c r="E17" i="36" s="1"/>
  <c r="C10" i="35"/>
  <c r="D17" i="36" s="1"/>
  <c r="H8" i="35"/>
  <c r="G8" i="35"/>
  <c r="F8" i="35"/>
  <c r="G11" i="36" s="1"/>
  <c r="E8" i="35"/>
  <c r="F11" i="36" s="1"/>
  <c r="D8" i="35"/>
  <c r="E11" i="36" s="1"/>
  <c r="E12" i="36" s="1"/>
  <c r="C8" i="35"/>
  <c r="D11" i="36" s="1"/>
  <c r="D12" i="36" s="1"/>
  <c r="H7" i="35"/>
  <c r="G7" i="35"/>
  <c r="F7" i="35"/>
  <c r="E7" i="35"/>
  <c r="D7" i="35"/>
  <c r="E8" i="36" s="1"/>
  <c r="C7" i="35"/>
  <c r="D8" i="36" s="1"/>
  <c r="D9" i="36" s="1"/>
  <c r="H5" i="35"/>
  <c r="G5" i="35"/>
  <c r="F5" i="35"/>
  <c r="E5" i="35"/>
  <c r="D5" i="35"/>
  <c r="C5" i="35"/>
  <c r="C52" i="21" l="1"/>
  <c r="C8" i="21"/>
  <c r="D52" i="21"/>
  <c r="D8" i="21"/>
  <c r="E52" i="21"/>
  <c r="E8" i="21"/>
  <c r="F52" i="21"/>
  <c r="F8" i="21"/>
  <c r="G52" i="21"/>
  <c r="G8" i="21"/>
  <c r="F29" i="9"/>
  <c r="F29" i="37"/>
  <c r="G11" i="9"/>
  <c r="G11" i="37"/>
  <c r="F37" i="12"/>
  <c r="G23" i="9"/>
  <c r="G23" i="37"/>
  <c r="H17" i="9"/>
  <c r="H17" i="37"/>
  <c r="H41" i="9"/>
  <c r="H41" i="37"/>
  <c r="I11" i="9"/>
  <c r="H37" i="12"/>
  <c r="I11" i="37"/>
  <c r="I29" i="9"/>
  <c r="I29" i="37"/>
  <c r="D14" i="9"/>
  <c r="D14" i="37"/>
  <c r="D20" i="9"/>
  <c r="D20" i="37"/>
  <c r="D26" i="9"/>
  <c r="D26" i="37"/>
  <c r="D44" i="9"/>
  <c r="E45" i="9" s="1"/>
  <c r="D44" i="37"/>
  <c r="E20" i="9"/>
  <c r="E20" i="37"/>
  <c r="E32" i="9"/>
  <c r="E32" i="37"/>
  <c r="F14" i="9"/>
  <c r="F14" i="37"/>
  <c r="F35" i="9"/>
  <c r="F35" i="37"/>
  <c r="G17" i="9"/>
  <c r="G17" i="37"/>
  <c r="G41" i="9"/>
  <c r="G41" i="37"/>
  <c r="H8" i="36"/>
  <c r="H36" i="36" s="1"/>
  <c r="G55" i="12"/>
  <c r="G43" i="13"/>
  <c r="F6" i="26"/>
  <c r="H26" i="36"/>
  <c r="F12" i="26"/>
  <c r="H35" i="9"/>
  <c r="H35" i="37"/>
  <c r="D38" i="9"/>
  <c r="D38" i="37"/>
  <c r="E14" i="9"/>
  <c r="E15" i="9" s="1"/>
  <c r="E14" i="37"/>
  <c r="E26" i="9"/>
  <c r="E26" i="37"/>
  <c r="E44" i="9"/>
  <c r="E44" i="37"/>
  <c r="F20" i="9"/>
  <c r="F20" i="37"/>
  <c r="F32" i="9"/>
  <c r="F32" i="37"/>
  <c r="F38" i="9"/>
  <c r="F38" i="37"/>
  <c r="F44" i="9"/>
  <c r="F44" i="37"/>
  <c r="G14" i="9"/>
  <c r="G14" i="37"/>
  <c r="G20" i="9"/>
  <c r="G20" i="37"/>
  <c r="G32" i="9"/>
  <c r="G32" i="37"/>
  <c r="G38" i="9"/>
  <c r="G38" i="37"/>
  <c r="G44" i="9"/>
  <c r="G44" i="37"/>
  <c r="F8" i="26"/>
  <c r="H11" i="36"/>
  <c r="H14" i="9"/>
  <c r="H14" i="37"/>
  <c r="F14" i="26"/>
  <c r="H20" i="9"/>
  <c r="H20" i="37"/>
  <c r="H26" i="37"/>
  <c r="F10" i="26"/>
  <c r="H32" i="9"/>
  <c r="H32" i="37"/>
  <c r="H38" i="9"/>
  <c r="H38" i="37"/>
  <c r="F7" i="26"/>
  <c r="H44" i="9"/>
  <c r="I45" i="9" s="1"/>
  <c r="H44" i="37"/>
  <c r="G8" i="26"/>
  <c r="I11" i="36"/>
  <c r="I14" i="9"/>
  <c r="I14" i="37"/>
  <c r="G14" i="26"/>
  <c r="I20" i="9"/>
  <c r="I20" i="37"/>
  <c r="G10" i="26"/>
  <c r="I26" i="37"/>
  <c r="I32" i="9"/>
  <c r="I32" i="37"/>
  <c r="I38" i="9"/>
  <c r="I38" i="37"/>
  <c r="G7" i="26"/>
  <c r="I44" i="9"/>
  <c r="I44" i="37"/>
  <c r="F11" i="9"/>
  <c r="F11" i="37"/>
  <c r="E37" i="12"/>
  <c r="F23" i="9"/>
  <c r="F23" i="37"/>
  <c r="F41" i="9"/>
  <c r="F41" i="37"/>
  <c r="F55" i="12"/>
  <c r="G8" i="36"/>
  <c r="G18" i="36" s="1"/>
  <c r="F43" i="13"/>
  <c r="G29" i="9"/>
  <c r="G29" i="37"/>
  <c r="H11" i="9"/>
  <c r="G37" i="12"/>
  <c r="H11" i="37"/>
  <c r="H29" i="9"/>
  <c r="H29" i="37"/>
  <c r="H43" i="13"/>
  <c r="G6" i="26"/>
  <c r="H55" i="12"/>
  <c r="I8" i="36"/>
  <c r="I35" i="9"/>
  <c r="I35" i="37"/>
  <c r="D32" i="9"/>
  <c r="E33" i="9" s="1"/>
  <c r="D32" i="37"/>
  <c r="D18" i="36"/>
  <c r="D27" i="36"/>
  <c r="D36" i="36"/>
  <c r="D17" i="9"/>
  <c r="E18" i="9" s="1"/>
  <c r="D17" i="37"/>
  <c r="D23" i="9"/>
  <c r="D23" i="37"/>
  <c r="D29" i="9"/>
  <c r="D29" i="37"/>
  <c r="D35" i="9"/>
  <c r="D35" i="37"/>
  <c r="E55" i="12"/>
  <c r="F8" i="36"/>
  <c r="F36" i="36" s="1"/>
  <c r="E43" i="13"/>
  <c r="F17" i="9"/>
  <c r="F17" i="37"/>
  <c r="G27" i="36"/>
  <c r="G35" i="9"/>
  <c r="G35" i="37"/>
  <c r="F13" i="26"/>
  <c r="H17" i="36"/>
  <c r="H23" i="9"/>
  <c r="H23" i="37"/>
  <c r="G13" i="26"/>
  <c r="I17" i="36"/>
  <c r="G12" i="26"/>
  <c r="I26" i="36"/>
  <c r="I17" i="9"/>
  <c r="I17" i="37"/>
  <c r="I23" i="9"/>
  <c r="I23" i="37"/>
  <c r="I41" i="9"/>
  <c r="I41" i="37"/>
  <c r="E38" i="9"/>
  <c r="E38" i="37"/>
  <c r="F26" i="9"/>
  <c r="F26" i="37"/>
  <c r="E24" i="36"/>
  <c r="E9" i="36"/>
  <c r="E18" i="36"/>
  <c r="E27" i="36"/>
  <c r="E36" i="36"/>
  <c r="E11" i="9"/>
  <c r="E11" i="37"/>
  <c r="E17" i="9"/>
  <c r="E17" i="37"/>
  <c r="E23" i="9"/>
  <c r="E24" i="9" s="1"/>
  <c r="E23" i="37"/>
  <c r="E29" i="9"/>
  <c r="E29" i="37"/>
  <c r="E35" i="9"/>
  <c r="E36" i="9" s="1"/>
  <c r="E35" i="37"/>
  <c r="D60" i="35"/>
  <c r="D62" i="35" s="1"/>
  <c r="H60" i="35"/>
  <c r="H62" i="35" s="1"/>
  <c r="G60" i="35"/>
  <c r="G62" i="35" s="1"/>
  <c r="F60" i="35"/>
  <c r="F62" i="35" s="1"/>
  <c r="E60" i="35"/>
  <c r="E62" i="35" s="1"/>
  <c r="E85" i="35"/>
  <c r="D75" i="35"/>
  <c r="G85" i="35"/>
  <c r="H75" i="35"/>
  <c r="F75" i="35"/>
  <c r="E75" i="35"/>
  <c r="D85" i="35"/>
  <c r="F85" i="35"/>
  <c r="G75" i="35"/>
  <c r="E9" i="35"/>
  <c r="H85" i="35"/>
  <c r="H9" i="35"/>
  <c r="F33" i="35"/>
  <c r="F39" i="35"/>
  <c r="G33" i="35"/>
  <c r="G39" i="35"/>
  <c r="H39" i="35"/>
  <c r="C33" i="35"/>
  <c r="C44" i="35"/>
  <c r="D9" i="35"/>
  <c r="D44" i="35"/>
  <c r="C7" i="21" s="1"/>
  <c r="D39" i="35"/>
  <c r="E41" i="9"/>
  <c r="H33" i="35"/>
  <c r="H44" i="35"/>
  <c r="E44" i="35"/>
  <c r="D7" i="21" s="1"/>
  <c r="I26" i="9"/>
  <c r="C9" i="35"/>
  <c r="D14" i="36" s="1"/>
  <c r="D15" i="36" s="1"/>
  <c r="F44" i="35"/>
  <c r="E7" i="21" s="1"/>
  <c r="H26" i="9"/>
  <c r="G44" i="35"/>
  <c r="G26" i="9"/>
  <c r="D33" i="35"/>
  <c r="C39" i="35"/>
  <c r="G9" i="35"/>
  <c r="F9" i="35"/>
  <c r="E33" i="35"/>
  <c r="E39" i="35"/>
  <c r="D11" i="9"/>
  <c r="D41" i="9"/>
  <c r="E8" i="9"/>
  <c r="F8" i="9"/>
  <c r="G8" i="9"/>
  <c r="H8" i="9"/>
  <c r="I8" i="9"/>
  <c r="D8" i="9"/>
  <c r="D35" i="7"/>
  <c r="I26" i="7"/>
  <c r="H26" i="7"/>
  <c r="G26" i="7"/>
  <c r="F26" i="7"/>
  <c r="E26" i="7"/>
  <c r="D26" i="7"/>
  <c r="E35" i="7"/>
  <c r="F35" i="7"/>
  <c r="G35" i="7"/>
  <c r="H35" i="7"/>
  <c r="I35" i="7"/>
  <c r="E29" i="7"/>
  <c r="F29" i="7"/>
  <c r="G29" i="7"/>
  <c r="H29" i="7"/>
  <c r="I29" i="7"/>
  <c r="D29" i="7"/>
  <c r="D23" i="7"/>
  <c r="E17" i="7"/>
  <c r="F17" i="7"/>
  <c r="G17" i="7"/>
  <c r="H17" i="7"/>
  <c r="I17" i="7"/>
  <c r="D17" i="7"/>
  <c r="E11" i="7"/>
  <c r="F11" i="7"/>
  <c r="G11" i="7"/>
  <c r="H11" i="7"/>
  <c r="I11" i="7"/>
  <c r="D11" i="7"/>
  <c r="E8" i="7"/>
  <c r="F8" i="7"/>
  <c r="G8" i="7"/>
  <c r="H8" i="7"/>
  <c r="I8" i="7"/>
  <c r="D8" i="7"/>
  <c r="H20" i="31"/>
  <c r="F13" i="31"/>
  <c r="F12" i="31"/>
  <c r="G7" i="31"/>
  <c r="F7" i="31"/>
  <c r="D7" i="31"/>
  <c r="H26" i="30"/>
  <c r="I26" i="30" s="1"/>
  <c r="J26" i="30" s="1"/>
  <c r="K26" i="30" s="1"/>
  <c r="L26" i="30" s="1"/>
  <c r="L25" i="30"/>
  <c r="K25" i="30"/>
  <c r="J25" i="30"/>
  <c r="I25" i="30"/>
  <c r="H25" i="30"/>
  <c r="H24" i="30"/>
  <c r="I24" i="30" s="1"/>
  <c r="J24" i="30" s="1"/>
  <c r="K24" i="30" s="1"/>
  <c r="L24" i="30" s="1"/>
  <c r="G23" i="30"/>
  <c r="F23" i="30"/>
  <c r="E23" i="30"/>
  <c r="D23" i="30"/>
  <c r="H20" i="30"/>
  <c r="I20" i="30" s="1"/>
  <c r="J20" i="30" s="1"/>
  <c r="K20" i="30" s="1"/>
  <c r="L20" i="30" s="1"/>
  <c r="H14" i="30"/>
  <c r="I14" i="30" s="1"/>
  <c r="J14" i="30" s="1"/>
  <c r="K14" i="30" s="1"/>
  <c r="L14" i="30" s="1"/>
  <c r="F14" i="30"/>
  <c r="E14" i="30" s="1"/>
  <c r="D14" i="30" s="1"/>
  <c r="H13" i="30"/>
  <c r="I13" i="30" s="1"/>
  <c r="J13" i="30" s="1"/>
  <c r="K13" i="30" s="1"/>
  <c r="L13" i="30" s="1"/>
  <c r="H12" i="30"/>
  <c r="I12" i="30" s="1"/>
  <c r="J12" i="30" s="1"/>
  <c r="K12" i="30" s="1"/>
  <c r="L12" i="30" s="1"/>
  <c r="H8" i="30"/>
  <c r="I8" i="30" s="1"/>
  <c r="J8" i="30" s="1"/>
  <c r="K8" i="30" s="1"/>
  <c r="L8" i="30" s="1"/>
  <c r="G7" i="30"/>
  <c r="F7" i="30"/>
  <c r="E7" i="30"/>
  <c r="D7" i="30"/>
  <c r="G6" i="30"/>
  <c r="F6" i="30"/>
  <c r="E6" i="30"/>
  <c r="D6" i="30"/>
  <c r="G13" i="29"/>
  <c r="F13" i="29"/>
  <c r="E13" i="29"/>
  <c r="D13" i="29"/>
  <c r="G11" i="29"/>
  <c r="F11" i="29"/>
  <c r="D11" i="29"/>
  <c r="H12" i="36" l="1"/>
  <c r="E39" i="9"/>
  <c r="G42" i="9"/>
  <c r="H45" i="9"/>
  <c r="H27" i="36"/>
  <c r="G14" i="36"/>
  <c r="G15" i="36" s="1"/>
  <c r="E18" i="21"/>
  <c r="F9" i="26"/>
  <c r="F7" i="21"/>
  <c r="G45" i="9"/>
  <c r="I42" i="9"/>
  <c r="E30" i="9"/>
  <c r="F27" i="36"/>
  <c r="G30" i="36"/>
  <c r="H14" i="36"/>
  <c r="H15" i="36" s="1"/>
  <c r="F18" i="21"/>
  <c r="H42" i="9"/>
  <c r="I14" i="36"/>
  <c r="I15" i="36" s="1"/>
  <c r="G18" i="21"/>
  <c r="F14" i="36"/>
  <c r="F15" i="36" s="1"/>
  <c r="D18" i="21"/>
  <c r="E21" i="9"/>
  <c r="F45" i="9"/>
  <c r="E14" i="36"/>
  <c r="E15" i="36" s="1"/>
  <c r="C18" i="21"/>
  <c r="G9" i="26"/>
  <c r="G7" i="21"/>
  <c r="G12" i="36"/>
  <c r="E27" i="9"/>
  <c r="F9" i="36"/>
  <c r="F24" i="36"/>
  <c r="H15" i="37"/>
  <c r="G36" i="36"/>
  <c r="E15" i="37"/>
  <c r="I27" i="36"/>
  <c r="H21" i="37"/>
  <c r="I24" i="36"/>
  <c r="I9" i="36"/>
  <c r="H24" i="36"/>
  <c r="H9" i="36"/>
  <c r="I30" i="36"/>
  <c r="I12" i="36"/>
  <c r="I18" i="36"/>
  <c r="F42" i="9"/>
  <c r="D36" i="37"/>
  <c r="F12" i="36"/>
  <c r="I36" i="36"/>
  <c r="G9" i="36"/>
  <c r="G24" i="36"/>
  <c r="E12" i="9"/>
  <c r="F30" i="36"/>
  <c r="H18" i="36"/>
  <c r="H30" i="36"/>
  <c r="F18" i="36"/>
  <c r="D14" i="7"/>
  <c r="F11" i="35"/>
  <c r="E19" i="21" s="1"/>
  <c r="D11" i="35"/>
  <c r="C19" i="21" s="1"/>
  <c r="H46" i="35"/>
  <c r="I21" i="37" s="1"/>
  <c r="C46" i="35"/>
  <c r="D30" i="37" s="1"/>
  <c r="D87" i="35"/>
  <c r="F9" i="7"/>
  <c r="H87" i="35"/>
  <c r="E14" i="7"/>
  <c r="G87" i="35"/>
  <c r="E11" i="35"/>
  <c r="E87" i="35"/>
  <c r="F14" i="7"/>
  <c r="F87" i="35"/>
  <c r="F46" i="35"/>
  <c r="G24" i="37" s="1"/>
  <c r="G46" i="35"/>
  <c r="H33" i="37" s="1"/>
  <c r="E42" i="9"/>
  <c r="H11" i="35"/>
  <c r="H14" i="7"/>
  <c r="G11" i="35"/>
  <c r="E9" i="9"/>
  <c r="D46" i="35"/>
  <c r="E18" i="37" s="1"/>
  <c r="C11" i="35"/>
  <c r="D20" i="36" s="1"/>
  <c r="D21" i="36" s="1"/>
  <c r="E46" i="35"/>
  <c r="F27" i="37" s="1"/>
  <c r="G14" i="7"/>
  <c r="I12" i="7"/>
  <c r="H12" i="7"/>
  <c r="H36" i="7"/>
  <c r="F36" i="7"/>
  <c r="E30" i="7"/>
  <c r="I14" i="7"/>
  <c r="H9" i="7"/>
  <c r="I36" i="7"/>
  <c r="G36" i="7"/>
  <c r="I9" i="7"/>
  <c r="E27" i="7"/>
  <c r="G12" i="7"/>
  <c r="F12" i="7"/>
  <c r="E9" i="7"/>
  <c r="E18" i="7"/>
  <c r="E36" i="7"/>
  <c r="E12" i="7"/>
  <c r="G9" i="7"/>
  <c r="G24" i="26"/>
  <c r="G5" i="20"/>
  <c r="E33" i="37" l="1"/>
  <c r="E36" i="37"/>
  <c r="I30" i="37"/>
  <c r="E21" i="37"/>
  <c r="G39" i="37"/>
  <c r="F15" i="37"/>
  <c r="F18" i="37"/>
  <c r="F12" i="37"/>
  <c r="F24" i="37"/>
  <c r="F20" i="36"/>
  <c r="F21" i="36" s="1"/>
  <c r="D19" i="21"/>
  <c r="H20" i="36"/>
  <c r="H21" i="36" s="1"/>
  <c r="F19" i="21"/>
  <c r="E12" i="37"/>
  <c r="I20" i="36"/>
  <c r="I21" i="36" s="1"/>
  <c r="G19" i="21"/>
  <c r="F30" i="37"/>
  <c r="F33" i="37"/>
  <c r="F21" i="37"/>
  <c r="C48" i="35"/>
  <c r="D12" i="37"/>
  <c r="D42" i="37"/>
  <c r="D9" i="37"/>
  <c r="H48" i="35"/>
  <c r="H32" i="12"/>
  <c r="G11" i="26"/>
  <c r="I9" i="37"/>
  <c r="H27" i="37"/>
  <c r="I39" i="37"/>
  <c r="F48" i="35"/>
  <c r="F32" i="12"/>
  <c r="G9" i="37"/>
  <c r="G27" i="37"/>
  <c r="F15" i="35"/>
  <c r="F17" i="35" s="1"/>
  <c r="G20" i="36"/>
  <c r="G21" i="36" s="1"/>
  <c r="G12" i="37"/>
  <c r="H30" i="37"/>
  <c r="G21" i="37"/>
  <c r="E48" i="35"/>
  <c r="E32" i="12"/>
  <c r="F9" i="37"/>
  <c r="G42" i="37"/>
  <c r="F45" i="37"/>
  <c r="H42" i="37"/>
  <c r="I45" i="37"/>
  <c r="I15" i="37"/>
  <c r="H12" i="37"/>
  <c r="D39" i="37"/>
  <c r="H24" i="37"/>
  <c r="F42" i="37"/>
  <c r="G15" i="37"/>
  <c r="I36" i="37"/>
  <c r="H18" i="37"/>
  <c r="E24" i="37"/>
  <c r="F36" i="37"/>
  <c r="G36" i="37"/>
  <c r="I12" i="37"/>
  <c r="D18" i="37"/>
  <c r="G48" i="35"/>
  <c r="F11" i="26"/>
  <c r="G32" i="12"/>
  <c r="H9" i="37"/>
  <c r="D33" i="37"/>
  <c r="I33" i="37"/>
  <c r="D45" i="37"/>
  <c r="H45" i="37"/>
  <c r="E20" i="7"/>
  <c r="E20" i="36"/>
  <c r="E21" i="36" s="1"/>
  <c r="H36" i="37"/>
  <c r="I42" i="37"/>
  <c r="D15" i="37"/>
  <c r="G45" i="37"/>
  <c r="I27" i="37"/>
  <c r="F39" i="37"/>
  <c r="I18" i="37"/>
  <c r="D48" i="35"/>
  <c r="E42" i="37"/>
  <c r="E9" i="37"/>
  <c r="D27" i="37"/>
  <c r="D21" i="37"/>
  <c r="D24" i="37"/>
  <c r="E27" i="37"/>
  <c r="E30" i="37"/>
  <c r="E39" i="37"/>
  <c r="G30" i="37"/>
  <c r="H39" i="37"/>
  <c r="G33" i="37"/>
  <c r="I24" i="37"/>
  <c r="E45" i="37"/>
  <c r="G18" i="37"/>
  <c r="D15" i="35"/>
  <c r="E15" i="7"/>
  <c r="G20" i="7"/>
  <c r="H20" i="7"/>
  <c r="D20" i="7"/>
  <c r="F20" i="7"/>
  <c r="E15" i="35"/>
  <c r="F15" i="7"/>
  <c r="G15" i="7"/>
  <c r="H15" i="35"/>
  <c r="H15" i="7"/>
  <c r="I15" i="7"/>
  <c r="C15" i="35"/>
  <c r="G15" i="35"/>
  <c r="I20" i="7"/>
  <c r="E27" i="23"/>
  <c r="F27" i="23"/>
  <c r="D27" i="23"/>
  <c r="F25" i="23"/>
  <c r="E25" i="23"/>
  <c r="D25" i="23"/>
  <c r="F14" i="23"/>
  <c r="G14" i="23"/>
  <c r="E14" i="23"/>
  <c r="G32" i="7" l="1"/>
  <c r="G26" i="26"/>
  <c r="E21" i="21"/>
  <c r="E22" i="21"/>
  <c r="E20" i="21"/>
  <c r="G22" i="26"/>
  <c r="D53" i="21"/>
  <c r="D23" i="21"/>
  <c r="E53" i="21"/>
  <c r="E23" i="21"/>
  <c r="F53" i="21"/>
  <c r="F23" i="21"/>
  <c r="C53" i="21"/>
  <c r="C23" i="21"/>
  <c r="G53" i="21"/>
  <c r="G23" i="21"/>
  <c r="D32" i="36"/>
  <c r="D33" i="36" s="1"/>
  <c r="E43" i="12"/>
  <c r="H17" i="35"/>
  <c r="I32" i="36"/>
  <c r="I33" i="36" s="1"/>
  <c r="F21" i="7"/>
  <c r="F32" i="36"/>
  <c r="F33" i="36" s="1"/>
  <c r="G43" i="12"/>
  <c r="E21" i="7"/>
  <c r="G32" i="36"/>
  <c r="G33" i="36" s="1"/>
  <c r="H43" i="12"/>
  <c r="D17" i="35"/>
  <c r="E32" i="36"/>
  <c r="E33" i="36" s="1"/>
  <c r="F43" i="12"/>
  <c r="F36" i="13"/>
  <c r="G38" i="36"/>
  <c r="G39" i="36" s="1"/>
  <c r="H32" i="7"/>
  <c r="H32" i="36"/>
  <c r="H33" i="36" s="1"/>
  <c r="E32" i="7"/>
  <c r="G21" i="7"/>
  <c r="H21" i="7"/>
  <c r="E17" i="35"/>
  <c r="I21" i="7"/>
  <c r="F32" i="7"/>
  <c r="G17" i="35"/>
  <c r="C17" i="35"/>
  <c r="D38" i="36" s="1"/>
  <c r="D39" i="36" s="1"/>
  <c r="D32" i="7"/>
  <c r="H19" i="35"/>
  <c r="H21" i="35" s="1"/>
  <c r="F19" i="35"/>
  <c r="F21" i="35" s="1"/>
  <c r="I32" i="7"/>
  <c r="G38" i="7"/>
  <c r="O23" i="14"/>
  <c r="K10" i="14"/>
  <c r="H69" i="19" a="1"/>
  <c r="L96" i="17" s="1"/>
  <c r="G69" i="19" a="1"/>
  <c r="K96" i="17" s="1"/>
  <c r="F69" i="19" a="1"/>
  <c r="J96" i="17" s="1"/>
  <c r="E69" i="19" a="1"/>
  <c r="I96" i="17" s="1"/>
  <c r="D69" i="19" a="1"/>
  <c r="H96" i="17" s="1"/>
  <c r="H62" i="19" a="1"/>
  <c r="L95" i="17" s="1"/>
  <c r="G62" i="19" a="1"/>
  <c r="K95" i="17" s="1"/>
  <c r="F62" i="19" a="1"/>
  <c r="J95" i="17" s="1"/>
  <c r="E62" i="19" a="1"/>
  <c r="I95" i="17" s="1"/>
  <c r="D62" i="19" a="1"/>
  <c r="H95" i="17" s="1"/>
  <c r="H55" i="19" a="1"/>
  <c r="L94" i="17" s="1"/>
  <c r="G55" i="19" a="1"/>
  <c r="K94" i="17" s="1"/>
  <c r="F55" i="19" a="1"/>
  <c r="J94" i="17" s="1"/>
  <c r="E55" i="19" a="1"/>
  <c r="I94" i="17" s="1"/>
  <c r="D55" i="19" a="1"/>
  <c r="H94" i="17" s="1"/>
  <c r="H48" i="19" a="1"/>
  <c r="L73" i="17" s="1"/>
  <c r="G48" i="19" a="1"/>
  <c r="K73" i="17" s="1"/>
  <c r="F48" i="19" a="1"/>
  <c r="J73" i="17" s="1"/>
  <c r="E48" i="19" a="1"/>
  <c r="I73" i="17" s="1"/>
  <c r="D48" i="19" a="1"/>
  <c r="H73" i="17" s="1"/>
  <c r="H41" i="19" a="1"/>
  <c r="L72" i="17" s="1"/>
  <c r="G41" i="19" a="1"/>
  <c r="K72" i="17" s="1"/>
  <c r="F41" i="19" a="1"/>
  <c r="J72" i="17" s="1"/>
  <c r="E41" i="19" a="1"/>
  <c r="I72" i="17" s="1"/>
  <c r="D41" i="19" a="1"/>
  <c r="H72" i="17" s="1"/>
  <c r="H34" i="19" a="1"/>
  <c r="L56" i="17" s="1"/>
  <c r="G34" i="19" a="1"/>
  <c r="K56" i="17" s="1"/>
  <c r="F34" i="19" a="1"/>
  <c r="J56" i="17" s="1"/>
  <c r="E34" i="19" a="1"/>
  <c r="I56" i="17" s="1"/>
  <c r="D34" i="19" a="1"/>
  <c r="H56" i="17" s="1"/>
  <c r="H19" i="19" a="1"/>
  <c r="L24" i="17" s="1"/>
  <c r="G19" i="19" a="1"/>
  <c r="K24" i="17" s="1"/>
  <c r="F19" i="19" a="1"/>
  <c r="J24" i="17" s="1"/>
  <c r="E19" i="19" a="1"/>
  <c r="I24" i="17" s="1"/>
  <c r="D19" i="19" a="1"/>
  <c r="H24" i="17" s="1"/>
  <c r="H27" i="19" a="1"/>
  <c r="L38" i="17" s="1"/>
  <c r="G27" i="19" a="1"/>
  <c r="K38" i="17" s="1"/>
  <c r="F27" i="19" a="1"/>
  <c r="J38" i="17" s="1"/>
  <c r="E27" i="19" a="1"/>
  <c r="I38" i="17" s="1"/>
  <c r="D27" i="19" a="1"/>
  <c r="H38" i="17" s="1"/>
  <c r="E11" i="19" a="1"/>
  <c r="I22" i="17" s="1"/>
  <c r="F11" i="19" a="1"/>
  <c r="J22" i="17" s="1"/>
  <c r="G11" i="19" a="1"/>
  <c r="K22" i="17" s="1"/>
  <c r="H11" i="19" a="1"/>
  <c r="L22" i="17" s="1"/>
  <c r="D11" i="19" a="1"/>
  <c r="H22" i="17" s="1"/>
  <c r="D21" i="21" l="1"/>
  <c r="D22" i="21"/>
  <c r="D20" i="21"/>
  <c r="G20" i="21"/>
  <c r="G22" i="21"/>
  <c r="G21" i="21"/>
  <c r="F20" i="21"/>
  <c r="F22" i="21"/>
  <c r="F21" i="21"/>
  <c r="C22" i="21"/>
  <c r="C20" i="21"/>
  <c r="C21" i="21"/>
  <c r="D19" i="35"/>
  <c r="E38" i="36"/>
  <c r="E39" i="36" s="1"/>
  <c r="G15" i="26"/>
  <c r="H36" i="13"/>
  <c r="I38" i="36"/>
  <c r="I39" i="36" s="1"/>
  <c r="E38" i="7"/>
  <c r="E33" i="7"/>
  <c r="H38" i="36"/>
  <c r="H39" i="36" s="1"/>
  <c r="G36" i="13"/>
  <c r="F15" i="26"/>
  <c r="F38" i="7"/>
  <c r="F39" i="7" s="1"/>
  <c r="F38" i="36"/>
  <c r="F39" i="36" s="1"/>
  <c r="E36" i="13"/>
  <c r="H38" i="7"/>
  <c r="H39" i="7" s="1"/>
  <c r="E19" i="35"/>
  <c r="E21" i="35" s="1"/>
  <c r="G19" i="35"/>
  <c r="G21" i="35" s="1"/>
  <c r="C19" i="35"/>
  <c r="C21" i="35" s="1"/>
  <c r="D38" i="7"/>
  <c r="E39" i="7" s="1"/>
  <c r="H22" i="35"/>
  <c r="F22" i="35"/>
  <c r="E22" i="35"/>
  <c r="I38" i="7"/>
  <c r="G39" i="7"/>
  <c r="C40" i="18"/>
  <c r="C31" i="18"/>
  <c r="F11" i="18"/>
  <c r="G10" i="18"/>
  <c r="F10" i="18"/>
  <c r="D10" i="18"/>
  <c r="D21" i="35" l="1"/>
  <c r="D22" i="35"/>
  <c r="I39" i="7"/>
  <c r="G22" i="35"/>
  <c r="C22" i="35"/>
  <c r="E15" i="15"/>
  <c r="I109" i="17"/>
  <c r="J109" i="17"/>
  <c r="K109" i="17"/>
  <c r="L109" i="17"/>
  <c r="D109" i="17"/>
  <c r="G110" i="17"/>
  <c r="F110" i="17"/>
  <c r="E110" i="17"/>
  <c r="D110" i="17"/>
  <c r="D16" i="31" s="1"/>
  <c r="D17" i="31" s="1"/>
  <c r="D19" i="31" s="1"/>
  <c r="D21" i="31" s="1"/>
  <c r="E89" i="17"/>
  <c r="F89" i="17"/>
  <c r="G89" i="17"/>
  <c r="D89" i="17"/>
  <c r="G69" i="17"/>
  <c r="G12" i="31" s="1"/>
  <c r="G13" i="31" s="1"/>
  <c r="E70" i="17"/>
  <c r="E69" i="17"/>
  <c r="E12" i="31" s="1"/>
  <c r="E13" i="31" s="1"/>
  <c r="D69" i="17"/>
  <c r="D12" i="31" s="1"/>
  <c r="D13" i="31" s="1"/>
  <c r="F18" i="17"/>
  <c r="D23" i="17" s="1"/>
  <c r="F17" i="17"/>
  <c r="E23" i="17" s="1"/>
  <c r="F16" i="17"/>
  <c r="F23" i="17" s="1"/>
  <c r="F15" i="17"/>
  <c r="G23" i="17" s="1"/>
  <c r="H23" i="17" s="1"/>
  <c r="I23" i="17" s="1"/>
  <c r="J23" i="17" s="1"/>
  <c r="K23" i="17" s="1"/>
  <c r="L23" i="17" s="1"/>
  <c r="G21" i="17"/>
  <c r="H21" i="17" s="1"/>
  <c r="F21" i="17"/>
  <c r="E21" i="17"/>
  <c r="D21" i="17"/>
  <c r="F12" i="17"/>
  <c r="E12" i="17"/>
  <c r="D12" i="17"/>
  <c r="D11" i="17"/>
  <c r="E11" i="17"/>
  <c r="D10" i="17"/>
  <c r="E10" i="17"/>
  <c r="F10" i="17"/>
  <c r="F11" i="17"/>
  <c r="G5" i="17"/>
  <c r="E11" i="29" l="1"/>
  <c r="E7" i="31"/>
  <c r="J111" i="17"/>
  <c r="J112" i="17" s="1"/>
  <c r="J13" i="29" s="1"/>
  <c r="J16" i="31"/>
  <c r="J17" i="31" s="1"/>
  <c r="I111" i="17"/>
  <c r="I112" i="17" s="1"/>
  <c r="I13" i="29" s="1"/>
  <c r="I16" i="31"/>
  <c r="I17" i="31" s="1"/>
  <c r="L111" i="17"/>
  <c r="L112" i="17" s="1"/>
  <c r="L13" i="29" s="1"/>
  <c r="L16" i="31"/>
  <c r="L17" i="31" s="1"/>
  <c r="K111" i="17"/>
  <c r="K112" i="17" s="1"/>
  <c r="K13" i="29" s="1"/>
  <c r="K16" i="31"/>
  <c r="K17" i="31" s="1"/>
  <c r="E25" i="30"/>
  <c r="F25" i="30"/>
  <c r="G25" i="30"/>
  <c r="D25" i="30"/>
  <c r="E109" i="17"/>
  <c r="E111" i="17" s="1"/>
  <c r="E113" i="17" s="1"/>
  <c r="F109" i="17"/>
  <c r="F16" i="31" s="1"/>
  <c r="F17" i="31" s="1"/>
  <c r="G109" i="17"/>
  <c r="G16" i="31" s="1"/>
  <c r="G17" i="31" s="1"/>
  <c r="D71" i="17"/>
  <c r="D11" i="30" s="1"/>
  <c r="D11" i="18"/>
  <c r="E11" i="18"/>
  <c r="E10" i="18"/>
  <c r="G11" i="18"/>
  <c r="D111" i="17"/>
  <c r="D113" i="17" s="1"/>
  <c r="F90" i="17"/>
  <c r="H109" i="17"/>
  <c r="H16" i="31" s="1"/>
  <c r="H17" i="31" s="1"/>
  <c r="E90" i="17"/>
  <c r="G90" i="17"/>
  <c r="F24" i="17"/>
  <c r="E26" i="17"/>
  <c r="E5" i="29" s="1"/>
  <c r="E24" i="17"/>
  <c r="F26" i="17"/>
  <c r="F5" i="29" s="1"/>
  <c r="G26" i="17"/>
  <c r="G5" i="29" s="1"/>
  <c r="D26" i="17"/>
  <c r="D5" i="29" s="1"/>
  <c r="H26" i="17"/>
  <c r="H5" i="29" s="1"/>
  <c r="I21" i="17"/>
  <c r="G24" i="17"/>
  <c r="E22" i="17"/>
  <c r="F22" i="17"/>
  <c r="G22" i="17"/>
  <c r="F12" i="18" l="1"/>
  <c r="F8" i="31"/>
  <c r="G12" i="18"/>
  <c r="G8" i="31"/>
  <c r="E12" i="18"/>
  <c r="E8" i="31"/>
  <c r="E16" i="31"/>
  <c r="E17" i="31" s="1"/>
  <c r="F111" i="17"/>
  <c r="F113" i="17" s="1"/>
  <c r="G20" i="29"/>
  <c r="F20" i="29"/>
  <c r="E20" i="29"/>
  <c r="H20" i="29"/>
  <c r="G111" i="17"/>
  <c r="G113" i="17" s="1"/>
  <c r="E68" i="17"/>
  <c r="E71" i="17" s="1"/>
  <c r="E11" i="30" s="1"/>
  <c r="C41" i="18"/>
  <c r="H111" i="17"/>
  <c r="H112" i="17" s="1"/>
  <c r="H13" i="29" s="1"/>
  <c r="H36" i="17"/>
  <c r="D36" i="17"/>
  <c r="G36" i="17"/>
  <c r="F36" i="17"/>
  <c r="E36" i="17"/>
  <c r="I26" i="17"/>
  <c r="I5" i="29" s="1"/>
  <c r="J21" i="17"/>
  <c r="G73" i="17" l="1"/>
  <c r="G8" i="29"/>
  <c r="G6" i="29"/>
  <c r="G9" i="29"/>
  <c r="D72" i="17"/>
  <c r="D8" i="29"/>
  <c r="D6" i="29"/>
  <c r="D7" i="29" s="1"/>
  <c r="D9" i="29"/>
  <c r="H85" i="17"/>
  <c r="H87" i="17" s="1"/>
  <c r="H7" i="30" s="1"/>
  <c r="H8" i="29"/>
  <c r="H6" i="29"/>
  <c r="H9" i="29"/>
  <c r="I20" i="29"/>
  <c r="E8" i="29"/>
  <c r="E6" i="29"/>
  <c r="E9" i="29"/>
  <c r="F84" i="17"/>
  <c r="F94" i="17" s="1"/>
  <c r="F8" i="29"/>
  <c r="F6" i="29"/>
  <c r="F9" i="29"/>
  <c r="F5" i="23"/>
  <c r="G5" i="23"/>
  <c r="D5" i="23"/>
  <c r="F68" i="17"/>
  <c r="F71" i="17" s="1"/>
  <c r="F11" i="30" s="1"/>
  <c r="E5" i="23"/>
  <c r="H84" i="17"/>
  <c r="H86" i="17" s="1"/>
  <c r="H6" i="30" s="1"/>
  <c r="F85" i="17"/>
  <c r="F96" i="17" s="1"/>
  <c r="D73" i="17"/>
  <c r="G85" i="17"/>
  <c r="G96" i="17" s="1"/>
  <c r="E85" i="17"/>
  <c r="E96" i="17" s="1"/>
  <c r="E84" i="17"/>
  <c r="E73" i="17"/>
  <c r="E72" i="17"/>
  <c r="I36" i="17"/>
  <c r="G84" i="17"/>
  <c r="G72" i="17"/>
  <c r="F72" i="17"/>
  <c r="D84" i="17"/>
  <c r="F73" i="17"/>
  <c r="D85" i="17"/>
  <c r="D96" i="17" s="1"/>
  <c r="H70" i="17"/>
  <c r="H7" i="31" s="1"/>
  <c r="H69" i="17"/>
  <c r="K21" i="17"/>
  <c r="J26" i="17"/>
  <c r="J5" i="29" s="1"/>
  <c r="H11" i="18" l="1"/>
  <c r="H12" i="31"/>
  <c r="H13" i="31" s="1"/>
  <c r="I84" i="17"/>
  <c r="I86" i="17" s="1"/>
  <c r="I6" i="30" s="1"/>
  <c r="I8" i="29"/>
  <c r="I6" i="29"/>
  <c r="I9" i="29"/>
  <c r="H88" i="17"/>
  <c r="H23" i="30" s="1"/>
  <c r="J20" i="29"/>
  <c r="F21" i="29"/>
  <c r="F7" i="29"/>
  <c r="E6" i="23"/>
  <c r="D10" i="29"/>
  <c r="D12" i="29" s="1"/>
  <c r="D14" i="29" s="1"/>
  <c r="H10" i="18"/>
  <c r="H11" i="29"/>
  <c r="E21" i="29"/>
  <c r="E7" i="29"/>
  <c r="H21" i="29"/>
  <c r="H7" i="29"/>
  <c r="G21" i="29"/>
  <c r="G7" i="29"/>
  <c r="G10" i="29" s="1"/>
  <c r="F6" i="23"/>
  <c r="G68" i="17"/>
  <c r="G71" i="17" s="1"/>
  <c r="G11" i="30" s="1"/>
  <c r="G24" i="23"/>
  <c r="G6" i="23"/>
  <c r="D94" i="17"/>
  <c r="E94" i="17"/>
  <c r="G94" i="17"/>
  <c r="D95" i="17"/>
  <c r="I85" i="17"/>
  <c r="I87" i="17" s="1"/>
  <c r="I7" i="30" s="1"/>
  <c r="F95" i="17"/>
  <c r="E95" i="17"/>
  <c r="G95" i="17"/>
  <c r="J36" i="17"/>
  <c r="I70" i="17"/>
  <c r="I7" i="31" s="1"/>
  <c r="I69" i="17"/>
  <c r="L21" i="17"/>
  <c r="L26" i="17" s="1"/>
  <c r="L5" i="29" s="1"/>
  <c r="K26" i="17"/>
  <c r="K5" i="29" s="1"/>
  <c r="I11" i="18" l="1"/>
  <c r="I12" i="31"/>
  <c r="I13" i="31" s="1"/>
  <c r="H89" i="17"/>
  <c r="H90" i="17" s="1"/>
  <c r="G22" i="29"/>
  <c r="F10" i="29"/>
  <c r="G23" i="29" s="1"/>
  <c r="F22" i="29"/>
  <c r="G12" i="29"/>
  <c r="H22" i="29"/>
  <c r="H10" i="29"/>
  <c r="D15" i="29"/>
  <c r="D16" i="29" s="1"/>
  <c r="D6" i="31" s="1"/>
  <c r="K20" i="29"/>
  <c r="L20" i="29"/>
  <c r="H68" i="17"/>
  <c r="H71" i="17" s="1"/>
  <c r="H11" i="30" s="1"/>
  <c r="E10" i="29"/>
  <c r="E22" i="29"/>
  <c r="J84" i="17"/>
  <c r="J86" i="17" s="1"/>
  <c r="J6" i="30" s="1"/>
  <c r="J8" i="29"/>
  <c r="J6" i="29"/>
  <c r="J9" i="29"/>
  <c r="I10" i="18"/>
  <c r="I11" i="29"/>
  <c r="I21" i="29"/>
  <c r="I7" i="29"/>
  <c r="D7" i="23"/>
  <c r="D8" i="23" s="1"/>
  <c r="I88" i="17"/>
  <c r="I23" i="30" s="1"/>
  <c r="J85" i="17"/>
  <c r="J87" i="17" s="1"/>
  <c r="J7" i="30" s="1"/>
  <c r="J69" i="17"/>
  <c r="J70" i="17"/>
  <c r="J7" i="31" s="1"/>
  <c r="K36" i="17"/>
  <c r="L36" i="17"/>
  <c r="H12" i="18" l="1"/>
  <c r="H8" i="31"/>
  <c r="J11" i="18"/>
  <c r="J12" i="31"/>
  <c r="J13" i="31" s="1"/>
  <c r="I68" i="17"/>
  <c r="I71" i="17" s="1"/>
  <c r="I11" i="30" s="1"/>
  <c r="L85" i="17"/>
  <c r="L87" i="17" s="1"/>
  <c r="L7" i="30" s="1"/>
  <c r="L8" i="29"/>
  <c r="L6" i="29"/>
  <c r="L9" i="29"/>
  <c r="K84" i="17"/>
  <c r="K86" i="17" s="1"/>
  <c r="K6" i="30" s="1"/>
  <c r="K8" i="29"/>
  <c r="K6" i="29"/>
  <c r="K9" i="29"/>
  <c r="I22" i="29"/>
  <c r="I10" i="29"/>
  <c r="G14" i="29"/>
  <c r="J10" i="18"/>
  <c r="J11" i="29"/>
  <c r="F12" i="29"/>
  <c r="G24" i="29" s="1"/>
  <c r="F23" i="29"/>
  <c r="J21" i="29"/>
  <c r="J7" i="29"/>
  <c r="H12" i="29"/>
  <c r="H7" i="18" s="1"/>
  <c r="H9" i="18" s="1"/>
  <c r="H13" i="18" s="1"/>
  <c r="D23" i="18" s="1"/>
  <c r="H23" i="29"/>
  <c r="E12" i="29"/>
  <c r="E23" i="29"/>
  <c r="G7" i="23"/>
  <c r="G8" i="23" s="1"/>
  <c r="G25" i="23" s="1"/>
  <c r="F7" i="23"/>
  <c r="F8" i="23" s="1"/>
  <c r="E7" i="23"/>
  <c r="E8" i="23" s="1"/>
  <c r="D11" i="23"/>
  <c r="D12" i="23" s="1"/>
  <c r="D7" i="18"/>
  <c r="D9" i="18" s="1"/>
  <c r="D13" i="18" s="1"/>
  <c r="D9" i="23"/>
  <c r="D10" i="23" s="1"/>
  <c r="D18" i="23"/>
  <c r="I89" i="17"/>
  <c r="I90" i="17" s="1"/>
  <c r="J88" i="17"/>
  <c r="J23" i="30" s="1"/>
  <c r="L84" i="17"/>
  <c r="L86" i="17" s="1"/>
  <c r="L6" i="30" s="1"/>
  <c r="K69" i="17"/>
  <c r="K70" i="17"/>
  <c r="K7" i="31" s="1"/>
  <c r="K85" i="17"/>
  <c r="K87" i="17" s="1"/>
  <c r="K7" i="30" s="1"/>
  <c r="L70" i="17"/>
  <c r="L7" i="31" s="1"/>
  <c r="L69" i="17"/>
  <c r="L11" i="18" l="1"/>
  <c r="L12" i="31"/>
  <c r="L13" i="31" s="1"/>
  <c r="I12" i="18"/>
  <c r="I8" i="31"/>
  <c r="J68" i="17"/>
  <c r="J71" i="17" s="1"/>
  <c r="J11" i="30" s="1"/>
  <c r="K11" i="18"/>
  <c r="K12" i="31"/>
  <c r="K13" i="31" s="1"/>
  <c r="L88" i="17"/>
  <c r="L23" i="30" s="1"/>
  <c r="G15" i="29"/>
  <c r="G16" i="29" s="1"/>
  <c r="G6" i="31" s="1"/>
  <c r="G9" i="31" s="1"/>
  <c r="G19" i="31" s="1"/>
  <c r="I23" i="29"/>
  <c r="I12" i="29"/>
  <c r="I7" i="18" s="1"/>
  <c r="I9" i="18" s="1"/>
  <c r="I13" i="18" s="1"/>
  <c r="E23" i="18" s="1"/>
  <c r="E14" i="29"/>
  <c r="E24" i="29"/>
  <c r="L10" i="18"/>
  <c r="L11" i="29"/>
  <c r="H14" i="29"/>
  <c r="H24" i="29"/>
  <c r="K21" i="29"/>
  <c r="K7" i="29"/>
  <c r="K10" i="18"/>
  <c r="K11" i="29"/>
  <c r="J10" i="29"/>
  <c r="J22" i="29"/>
  <c r="F14" i="29"/>
  <c r="F24" i="29"/>
  <c r="L21" i="29"/>
  <c r="L7" i="29"/>
  <c r="E7" i="18"/>
  <c r="E9" i="18" s="1"/>
  <c r="E13" i="18" s="1"/>
  <c r="E9" i="23"/>
  <c r="E10" i="23" s="1"/>
  <c r="E18" i="23"/>
  <c r="G7" i="18"/>
  <c r="G9" i="18" s="1"/>
  <c r="G13" i="18" s="1"/>
  <c r="G9" i="23"/>
  <c r="G10" i="23" s="1"/>
  <c r="G18" i="23"/>
  <c r="F7" i="18"/>
  <c r="F9" i="18" s="1"/>
  <c r="F13" i="18" s="1"/>
  <c r="F9" i="23"/>
  <c r="F10" i="23" s="1"/>
  <c r="F18" i="23"/>
  <c r="K68" i="17"/>
  <c r="K71" i="17" s="1"/>
  <c r="K11" i="30" s="1"/>
  <c r="J89" i="17"/>
  <c r="J90" i="17" s="1"/>
  <c r="K88" i="17"/>
  <c r="K23" i="30" s="1"/>
  <c r="J12" i="18" l="1"/>
  <c r="J8" i="31"/>
  <c r="L89" i="17"/>
  <c r="L22" i="29"/>
  <c r="L10" i="29"/>
  <c r="F25" i="29"/>
  <c r="F15" i="29"/>
  <c r="F16" i="29" s="1"/>
  <c r="F6" i="31" s="1"/>
  <c r="F9" i="31" s="1"/>
  <c r="F19" i="31" s="1"/>
  <c r="I14" i="29"/>
  <c r="I24" i="29"/>
  <c r="H25" i="29"/>
  <c r="H15" i="29"/>
  <c r="H16" i="29" s="1"/>
  <c r="H6" i="31" s="1"/>
  <c r="H9" i="31" s="1"/>
  <c r="H19" i="31" s="1"/>
  <c r="H21" i="31" s="1"/>
  <c r="I20" i="31" s="1"/>
  <c r="E15" i="29"/>
  <c r="E16" i="29" s="1"/>
  <c r="E25" i="29"/>
  <c r="J12" i="29"/>
  <c r="J7" i="18" s="1"/>
  <c r="J9" i="18" s="1"/>
  <c r="J23" i="29"/>
  <c r="G25" i="29"/>
  <c r="K22" i="29"/>
  <c r="K10" i="29"/>
  <c r="L68" i="17"/>
  <c r="L71" i="17" s="1"/>
  <c r="L11" i="30" s="1"/>
  <c r="K89" i="17"/>
  <c r="K90" i="17" s="1"/>
  <c r="K12" i="18" l="1"/>
  <c r="K8" i="31"/>
  <c r="J13" i="18"/>
  <c r="F23" i="18" s="1"/>
  <c r="E26" i="29"/>
  <c r="E6" i="31"/>
  <c r="E9" i="31" s="1"/>
  <c r="E19" i="31" s="1"/>
  <c r="H26" i="29"/>
  <c r="H18" i="30"/>
  <c r="F26" i="29"/>
  <c r="G26" i="29"/>
  <c r="F11" i="23"/>
  <c r="F12" i="23" s="1"/>
  <c r="K23" i="29"/>
  <c r="K12" i="29"/>
  <c r="I15" i="29"/>
  <c r="I16" i="29" s="1"/>
  <c r="I25" i="29"/>
  <c r="J14" i="29"/>
  <c r="J24" i="29"/>
  <c r="L23" i="29"/>
  <c r="L12" i="29"/>
  <c r="G11" i="23"/>
  <c r="L90" i="17"/>
  <c r="K7" i="18"/>
  <c r="K9" i="18" s="1"/>
  <c r="K13" i="18" s="1"/>
  <c r="G23" i="18" s="1"/>
  <c r="C22" i="15"/>
  <c r="C24" i="15"/>
  <c r="I11" i="15"/>
  <c r="I12" i="15"/>
  <c r="F12" i="15"/>
  <c r="F11" i="15"/>
  <c r="E10" i="15"/>
  <c r="D10" i="15"/>
  <c r="H10" i="15" s="1"/>
  <c r="E9" i="15"/>
  <c r="D9" i="15"/>
  <c r="E8" i="15"/>
  <c r="D8" i="15"/>
  <c r="E7" i="15"/>
  <c r="D7" i="15"/>
  <c r="H7" i="15" s="1"/>
  <c r="J28" i="15"/>
  <c r="J23" i="15"/>
  <c r="E17" i="15"/>
  <c r="I28" i="15" s="1"/>
  <c r="G7" i="15"/>
  <c r="L12" i="18" l="1"/>
  <c r="L8" i="31"/>
  <c r="H9" i="15"/>
  <c r="I26" i="29"/>
  <c r="I6" i="31"/>
  <c r="I9" i="31" s="1"/>
  <c r="I19" i="31" s="1"/>
  <c r="I21" i="31" s="1"/>
  <c r="J20" i="31" s="1"/>
  <c r="I18" i="30"/>
  <c r="J15" i="29"/>
  <c r="J16" i="29" s="1"/>
  <c r="J25" i="29"/>
  <c r="K14" i="29"/>
  <c r="K24" i="29"/>
  <c r="L24" i="29"/>
  <c r="L14" i="29"/>
  <c r="L7" i="18"/>
  <c r="L9" i="18" s="1"/>
  <c r="E11" i="23"/>
  <c r="E12" i="23" s="1"/>
  <c r="G26" i="23"/>
  <c r="G12" i="23"/>
  <c r="G27" i="23" s="1"/>
  <c r="H11" i="15"/>
  <c r="G12" i="15"/>
  <c r="H12" i="15"/>
  <c r="H8" i="15"/>
  <c r="D23" i="15"/>
  <c r="D22" i="15"/>
  <c r="J7" i="15"/>
  <c r="G10" i="15"/>
  <c r="J10" i="15" s="1"/>
  <c r="D24" i="15"/>
  <c r="E24" i="15" s="1"/>
  <c r="E23" i="15" s="1"/>
  <c r="G8" i="15"/>
  <c r="G9" i="15"/>
  <c r="J9" i="15" s="1"/>
  <c r="L13" i="18" l="1"/>
  <c r="H23" i="18" s="1"/>
  <c r="C29" i="18" s="1"/>
  <c r="J26" i="29"/>
  <c r="J6" i="31"/>
  <c r="J9" i="31" s="1"/>
  <c r="J19" i="31" s="1"/>
  <c r="J21" i="31"/>
  <c r="K20" i="31" s="1"/>
  <c r="J18" i="30"/>
  <c r="K15" i="29"/>
  <c r="K16" i="29" s="1"/>
  <c r="K25" i="29"/>
  <c r="L25" i="29"/>
  <c r="L15" i="29"/>
  <c r="L16" i="29" s="1"/>
  <c r="L6" i="31" s="1"/>
  <c r="L9" i="31" s="1"/>
  <c r="L19" i="31" s="1"/>
  <c r="D25" i="15"/>
  <c r="J8" i="15"/>
  <c r="J12" i="15" s="1"/>
  <c r="J21" i="15" s="1"/>
  <c r="G11" i="15"/>
  <c r="J29" i="15"/>
  <c r="E25" i="15"/>
  <c r="J22" i="15" s="1"/>
  <c r="J11" i="15" l="1"/>
  <c r="K26" i="29"/>
  <c r="K6" i="31"/>
  <c r="K9" i="31" s="1"/>
  <c r="K19" i="31" s="1"/>
  <c r="K21" i="31" s="1"/>
  <c r="L20" i="31" s="1"/>
  <c r="L21" i="31" s="1"/>
  <c r="K18" i="30"/>
  <c r="L26" i="29"/>
  <c r="J24" i="15"/>
  <c r="J17" i="15" s="1"/>
  <c r="J18" i="15" s="1"/>
  <c r="I29" i="15" s="1"/>
  <c r="J30" i="15" s="1"/>
  <c r="C18" i="18" s="1"/>
  <c r="N23" i="14"/>
  <c r="M23" i="14"/>
  <c r="L18" i="30" l="1"/>
  <c r="G24" i="18"/>
  <c r="G26" i="18" s="1"/>
  <c r="D24" i="18"/>
  <c r="D26" i="18" s="1"/>
  <c r="C30" i="18"/>
  <c r="C33" i="18" s="1"/>
  <c r="H24" i="18"/>
  <c r="H26" i="18" s="1"/>
  <c r="F24" i="18"/>
  <c r="F26" i="18" s="1"/>
  <c r="E24" i="18"/>
  <c r="E26" i="18" s="1"/>
  <c r="N19" i="14"/>
  <c r="J10" i="14"/>
  <c r="J9" i="14"/>
  <c r="J8" i="14"/>
  <c r="J7" i="14"/>
  <c r="I10" i="14"/>
  <c r="I9" i="14"/>
  <c r="I8" i="14"/>
  <c r="I7" i="14"/>
  <c r="F10" i="14"/>
  <c r="F9" i="14"/>
  <c r="E9" i="14"/>
  <c r="E10" i="14"/>
  <c r="F8" i="14"/>
  <c r="E8" i="14"/>
  <c r="F7" i="14"/>
  <c r="E7" i="14"/>
  <c r="E6" i="14"/>
  <c r="H70" i="13"/>
  <c r="G70" i="13"/>
  <c r="F70" i="13"/>
  <c r="E70" i="13"/>
  <c r="B66" i="13"/>
  <c r="B61" i="13"/>
  <c r="B42" i="13"/>
  <c r="H35" i="13"/>
  <c r="H41" i="13" s="1"/>
  <c r="G35" i="13"/>
  <c r="G41" i="13" s="1"/>
  <c r="F35" i="13"/>
  <c r="F41" i="13" s="1"/>
  <c r="E35" i="13"/>
  <c r="E41" i="13" s="1"/>
  <c r="E50" i="12"/>
  <c r="F50" i="12"/>
  <c r="G50" i="12"/>
  <c r="H50" i="12"/>
  <c r="B38" i="12"/>
  <c r="B44" i="12" s="1"/>
  <c r="H30" i="12"/>
  <c r="H60" i="12" s="1"/>
  <c r="G30" i="12"/>
  <c r="G60" i="12" s="1"/>
  <c r="F30" i="12"/>
  <c r="F60" i="12" s="1"/>
  <c r="E30" i="12"/>
  <c r="E36" i="12" s="1"/>
  <c r="G7" i="14" l="1"/>
  <c r="O7" i="14" s="1"/>
  <c r="C38" i="18"/>
  <c r="C37" i="18"/>
  <c r="G9" i="14"/>
  <c r="G10" i="14"/>
  <c r="G8" i="14"/>
  <c r="N8" i="14"/>
  <c r="E59" i="13"/>
  <c r="E65" i="13" s="1"/>
  <c r="F59" i="13"/>
  <c r="F65" i="13" s="1"/>
  <c r="G59" i="13"/>
  <c r="G65" i="13" s="1"/>
  <c r="H59" i="13"/>
  <c r="H65" i="13" s="1"/>
  <c r="H51" i="12"/>
  <c r="E51" i="12"/>
  <c r="F51" i="12"/>
  <c r="G51" i="12"/>
  <c r="F36" i="12"/>
  <c r="G36" i="12"/>
  <c r="E60" i="12"/>
  <c r="H36" i="12"/>
  <c r="N10" i="14" l="1"/>
  <c r="O10" i="14"/>
  <c r="M9" i="14"/>
  <c r="O9" i="14"/>
  <c r="N9" i="14"/>
  <c r="M10" i="14"/>
  <c r="M8" i="14"/>
  <c r="O8" i="14"/>
  <c r="C39" i="18"/>
  <c r="C42" i="18" s="1"/>
  <c r="M7" i="14"/>
  <c r="N7" i="14"/>
  <c r="O12" i="14" l="1"/>
  <c r="O15" i="14"/>
  <c r="O20" i="14" s="1"/>
  <c r="O14" i="14"/>
  <c r="O17" i="14"/>
  <c r="O16" i="14"/>
  <c r="O13" i="14"/>
  <c r="N13" i="14"/>
  <c r="N14" i="14"/>
  <c r="N15" i="14"/>
  <c r="N16" i="14"/>
  <c r="N17" i="14"/>
  <c r="N12" i="14"/>
  <c r="M15" i="14"/>
  <c r="M14" i="14"/>
  <c r="M13" i="14"/>
  <c r="M12" i="14"/>
  <c r="M17" i="14"/>
  <c r="M16" i="14"/>
  <c r="B17" i="9" l="1"/>
  <c r="B14" i="9"/>
  <c r="B11" i="9"/>
  <c r="B8" i="9"/>
  <c r="B8" i="7"/>
  <c r="C6" i="3"/>
  <c r="D6" i="3"/>
  <c r="E6" i="3"/>
  <c r="F6" i="3"/>
  <c r="G6" i="3"/>
  <c r="H6" i="3"/>
  <c r="I6" i="3"/>
  <c r="L6" i="1" s="1"/>
  <c r="J6" i="3"/>
  <c r="K6" i="3"/>
  <c r="B6" i="3"/>
  <c r="C5" i="1"/>
  <c r="D5" i="1"/>
  <c r="E5" i="1"/>
  <c r="F5" i="1"/>
  <c r="G5" i="1"/>
  <c r="H5" i="1"/>
  <c r="I5" i="1"/>
  <c r="G7" i="17" s="1"/>
  <c r="J5" i="1"/>
  <c r="K5" i="1"/>
  <c r="B5" i="1"/>
  <c r="B6" i="6"/>
  <c r="C18" i="2"/>
  <c r="D18" i="2"/>
  <c r="E18" i="2"/>
  <c r="F18" i="2"/>
  <c r="G18" i="2"/>
  <c r="H18" i="2"/>
  <c r="I18" i="2"/>
  <c r="J18" i="2"/>
  <c r="K18" i="2"/>
  <c r="C19" i="2"/>
  <c r="D19" i="2"/>
  <c r="E19" i="2"/>
  <c r="F19" i="2"/>
  <c r="G19" i="2"/>
  <c r="H19" i="2"/>
  <c r="I19" i="2"/>
  <c r="J19" i="2"/>
  <c r="K19" i="2"/>
  <c r="B18" i="2"/>
  <c r="C4" i="2"/>
  <c r="D4" i="2"/>
  <c r="E4" i="2"/>
  <c r="E5" i="2"/>
  <c r="F4" i="2"/>
  <c r="G4" i="2"/>
  <c r="H4" i="2"/>
  <c r="D17" i="30" s="1"/>
  <c r="I4" i="2"/>
  <c r="E17" i="30" s="1"/>
  <c r="I5" i="2"/>
  <c r="J4" i="2"/>
  <c r="J5" i="2"/>
  <c r="K4" i="2"/>
  <c r="G17" i="30" s="1"/>
  <c r="C5" i="2"/>
  <c r="D5" i="2"/>
  <c r="F5" i="2"/>
  <c r="G5" i="2"/>
  <c r="H5" i="2"/>
  <c r="K5" i="2"/>
  <c r="C7" i="2"/>
  <c r="D7" i="2"/>
  <c r="E7" i="2"/>
  <c r="F7" i="2"/>
  <c r="G7" i="2"/>
  <c r="H7" i="2"/>
  <c r="I7" i="2"/>
  <c r="J7" i="2"/>
  <c r="K7" i="2"/>
  <c r="C8" i="2"/>
  <c r="D8" i="2"/>
  <c r="E8" i="2"/>
  <c r="F8" i="2"/>
  <c r="G8" i="2"/>
  <c r="H8" i="2"/>
  <c r="I8" i="2"/>
  <c r="J8" i="2"/>
  <c r="K8" i="2"/>
  <c r="C9" i="2"/>
  <c r="D9" i="2"/>
  <c r="E9" i="2"/>
  <c r="F9" i="2"/>
  <c r="G9" i="2"/>
  <c r="H9" i="2"/>
  <c r="I9" i="2"/>
  <c r="J9" i="2"/>
  <c r="K9"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C15" i="2"/>
  <c r="D15" i="2"/>
  <c r="E15" i="2"/>
  <c r="F15" i="2"/>
  <c r="G15" i="2"/>
  <c r="H15" i="2"/>
  <c r="I15" i="2"/>
  <c r="J15" i="2"/>
  <c r="K15" i="2"/>
  <c r="B15"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E14" i="3" s="1"/>
  <c r="F4" i="3"/>
  <c r="F14" i="3" s="1"/>
  <c r="G4" i="3"/>
  <c r="H4" i="3"/>
  <c r="H14" i="3" s="1"/>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C6" i="1" s="1"/>
  <c r="C19" i="1" s="1"/>
  <c r="D4" i="1"/>
  <c r="D21" i="2" s="1"/>
  <c r="E4" i="1"/>
  <c r="E21" i="2" s="1"/>
  <c r="F4" i="1"/>
  <c r="F21" i="2" s="1"/>
  <c r="G4" i="1"/>
  <c r="D6" i="23" s="1"/>
  <c r="H4" i="1"/>
  <c r="I4" i="1"/>
  <c r="G6" i="17" s="1"/>
  <c r="J4" i="1"/>
  <c r="K4" i="1"/>
  <c r="C7" i="1"/>
  <c r="D7" i="1"/>
  <c r="E7" i="1"/>
  <c r="F7" i="1"/>
  <c r="G7" i="1"/>
  <c r="H7" i="1"/>
  <c r="I7" i="1"/>
  <c r="J7" i="1"/>
  <c r="K7" i="1"/>
  <c r="C8" i="1"/>
  <c r="D8" i="1"/>
  <c r="E8" i="1"/>
  <c r="F8" i="1"/>
  <c r="G8" i="1"/>
  <c r="H8" i="1"/>
  <c r="I8" i="1"/>
  <c r="J8" i="1"/>
  <c r="K8" i="1"/>
  <c r="C9" i="1"/>
  <c r="D9" i="1"/>
  <c r="E9" i="1"/>
  <c r="F9" i="1"/>
  <c r="G9" i="1"/>
  <c r="E23" i="7" s="1"/>
  <c r="E24" i="7" s="1"/>
  <c r="H9" i="1"/>
  <c r="F23" i="7" s="1"/>
  <c r="I9" i="1"/>
  <c r="G23" i="7" s="1"/>
  <c r="J9" i="1"/>
  <c r="H23" i="7" s="1"/>
  <c r="K9" i="1"/>
  <c r="I23" i="7" s="1"/>
  <c r="C10" i="1"/>
  <c r="D10" i="1"/>
  <c r="E10" i="1"/>
  <c r="F10" i="1"/>
  <c r="F16" i="1" s="1"/>
  <c r="G10" i="1"/>
  <c r="G16" i="1" s="1"/>
  <c r="H10" i="1"/>
  <c r="I10" i="1"/>
  <c r="J10" i="1"/>
  <c r="K10" i="1"/>
  <c r="C11" i="1"/>
  <c r="D11" i="1"/>
  <c r="E11" i="1"/>
  <c r="F11" i="1"/>
  <c r="G11" i="1"/>
  <c r="H11" i="1"/>
  <c r="I11" i="1"/>
  <c r="J11" i="1"/>
  <c r="K11" i="1"/>
  <c r="C12" i="1"/>
  <c r="C13" i="1" s="1"/>
  <c r="D12" i="1"/>
  <c r="E12" i="1"/>
  <c r="F12" i="1"/>
  <c r="F13" i="1" s="1"/>
  <c r="G12" i="1"/>
  <c r="H12" i="1"/>
  <c r="I12" i="1"/>
  <c r="J12" i="1"/>
  <c r="K12" i="1"/>
  <c r="C15" i="1"/>
  <c r="D15" i="1"/>
  <c r="E15" i="1"/>
  <c r="F15" i="1"/>
  <c r="G15" i="1"/>
  <c r="H15" i="1"/>
  <c r="I15" i="1"/>
  <c r="J15" i="1"/>
  <c r="K15" i="1"/>
  <c r="B15" i="1"/>
  <c r="H13" i="1"/>
  <c r="I13" i="1"/>
  <c r="B7" i="1"/>
  <c r="B4" i="1"/>
  <c r="B6" i="1" s="1"/>
  <c r="B19" i="1" s="1"/>
  <c r="A1" i="1"/>
  <c r="A1" i="3" s="1"/>
  <c r="E1" i="6"/>
  <c r="H1"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E6" i="7" s="1"/>
  <c r="H3" i="1"/>
  <c r="I3" i="1"/>
  <c r="J3" i="1"/>
  <c r="H6" i="9" s="1"/>
  <c r="K3" i="1"/>
  <c r="I6" i="9" s="1"/>
  <c r="B7" i="4"/>
  <c r="B6" i="4"/>
  <c r="B5" i="4"/>
  <c r="B4" i="4"/>
  <c r="B3" i="4"/>
  <c r="B19" i="2"/>
  <c r="B14" i="2"/>
  <c r="B13" i="2"/>
  <c r="B12" i="2"/>
  <c r="B11" i="2"/>
  <c r="B9" i="2"/>
  <c r="B8" i="2"/>
  <c r="B7" i="2"/>
  <c r="B3" i="2"/>
  <c r="B12" i="3"/>
  <c r="B11" i="3"/>
  <c r="B10" i="3"/>
  <c r="B9" i="3"/>
  <c r="B8" i="3"/>
  <c r="B7" i="3"/>
  <c r="B4" i="3"/>
  <c r="B3" i="3"/>
  <c r="L15" i="1"/>
  <c r="B12" i="1"/>
  <c r="B13" i="1" s="1"/>
  <c r="B11" i="1"/>
  <c r="B10" i="1"/>
  <c r="B9" i="1"/>
  <c r="B8" i="1"/>
  <c r="B3" i="1"/>
  <c r="C21" i="2"/>
  <c r="I23" i="1"/>
  <c r="G24" i="7" l="1"/>
  <c r="I24" i="7"/>
  <c r="F14" i="1"/>
  <c r="I36" i="9"/>
  <c r="E21" i="30"/>
  <c r="E19" i="30"/>
  <c r="L8" i="1"/>
  <c r="M8" i="1" s="1"/>
  <c r="F6" i="7"/>
  <c r="D20" i="23"/>
  <c r="H16" i="1"/>
  <c r="H24" i="9"/>
  <c r="E19" i="23"/>
  <c r="E21" i="23"/>
  <c r="G20" i="23"/>
  <c r="K16" i="1"/>
  <c r="G6" i="9"/>
  <c r="H36" i="9"/>
  <c r="H23" i="1"/>
  <c r="I17" i="1"/>
  <c r="K17" i="2"/>
  <c r="I18" i="9"/>
  <c r="G21" i="30"/>
  <c r="H17" i="30"/>
  <c r="G19" i="30"/>
  <c r="C43" i="18"/>
  <c r="C44" i="18" s="1"/>
  <c r="B49" i="18" s="1"/>
  <c r="G36" i="9"/>
  <c r="B22" i="2"/>
  <c r="H17" i="1"/>
  <c r="G21" i="23"/>
  <c r="G19" i="23"/>
  <c r="G27" i="26"/>
  <c r="F19" i="23"/>
  <c r="F21" i="23"/>
  <c r="F17" i="30"/>
  <c r="K16" i="2"/>
  <c r="D19" i="23"/>
  <c r="L12" i="1"/>
  <c r="L13" i="1" s="1"/>
  <c r="L14" i="1" s="1"/>
  <c r="L25" i="1" s="1"/>
  <c r="D19" i="30"/>
  <c r="D21" i="30"/>
  <c r="G6" i="7"/>
  <c r="F20" i="23"/>
  <c r="J16" i="1"/>
  <c r="I14" i="3"/>
  <c r="D22" i="2"/>
  <c r="E6" i="9"/>
  <c r="E20" i="23"/>
  <c r="I16" i="1"/>
  <c r="I24" i="9"/>
  <c r="O21" i="14"/>
  <c r="O22" i="14" s="1"/>
  <c r="O25" i="14" s="1"/>
  <c r="O26" i="14" s="1"/>
  <c r="F6" i="9"/>
  <c r="F16" i="2"/>
  <c r="E16" i="2"/>
  <c r="H22" i="2"/>
  <c r="D16" i="2"/>
  <c r="G12" i="9"/>
  <c r="E25" i="2"/>
  <c r="D6" i="2"/>
  <c r="C24" i="2"/>
  <c r="C6" i="2"/>
  <c r="L5" i="1"/>
  <c r="I16" i="2"/>
  <c r="H6" i="2"/>
  <c r="E37" i="13" s="1"/>
  <c r="E53" i="13" s="1"/>
  <c r="G22" i="2"/>
  <c r="I22" i="2"/>
  <c r="E1" i="3"/>
  <c r="H16" i="2"/>
  <c r="G6" i="2"/>
  <c r="F22" i="2"/>
  <c r="I6" i="7"/>
  <c r="I18" i="7"/>
  <c r="I27" i="7"/>
  <c r="I30" i="9"/>
  <c r="C17" i="2"/>
  <c r="C16" i="2"/>
  <c r="G24" i="2"/>
  <c r="G13" i="1"/>
  <c r="D14" i="23" s="1"/>
  <c r="J22" i="2"/>
  <c r="E1" i="2"/>
  <c r="E24" i="2"/>
  <c r="J6" i="14"/>
  <c r="M20" i="14" s="1"/>
  <c r="I6" i="14"/>
  <c r="N20" i="14" s="1"/>
  <c r="J14" i="3"/>
  <c r="G16" i="2"/>
  <c r="F6" i="2"/>
  <c r="H6" i="7"/>
  <c r="H18" i="7"/>
  <c r="H27" i="7"/>
  <c r="F24" i="9"/>
  <c r="J6" i="1"/>
  <c r="L10" i="1"/>
  <c r="N11" i="1" s="1"/>
  <c r="G14" i="3"/>
  <c r="K13" i="1"/>
  <c r="L11" i="1"/>
  <c r="I39" i="9"/>
  <c r="F30" i="7"/>
  <c r="E6" i="2"/>
  <c r="H18" i="9"/>
  <c r="F27" i="9"/>
  <c r="K24" i="2"/>
  <c r="K6" i="2"/>
  <c r="H37" i="13" s="1"/>
  <c r="H53" i="13" s="1"/>
  <c r="J13" i="1"/>
  <c r="J6" i="2"/>
  <c r="G37" i="13" s="1"/>
  <c r="G53" i="13" s="1"/>
  <c r="C22" i="2"/>
  <c r="H17" i="2"/>
  <c r="H21" i="9"/>
  <c r="M21" i="14"/>
  <c r="N21" i="14"/>
  <c r="G6" i="14"/>
  <c r="O6" i="14" s="1"/>
  <c r="G18" i="9"/>
  <c r="G6" i="1"/>
  <c r="K14" i="1"/>
  <c r="I24" i="2"/>
  <c r="E22" i="2"/>
  <c r="F17" i="2"/>
  <c r="J16" i="2"/>
  <c r="I6" i="2"/>
  <c r="F37" i="13" s="1"/>
  <c r="F53" i="13" s="1"/>
  <c r="G33" i="7"/>
  <c r="H39" i="9"/>
  <c r="J25" i="2"/>
  <c r="J21" i="2"/>
  <c r="G30" i="9"/>
  <c r="G21" i="2"/>
  <c r="F9" i="9"/>
  <c r="D24" i="2"/>
  <c r="F18" i="9"/>
  <c r="K21" i="2"/>
  <c r="D17" i="2"/>
  <c r="H24" i="2"/>
  <c r="G9" i="9"/>
  <c r="H30" i="9"/>
  <c r="J24" i="2"/>
  <c r="K22" i="2"/>
  <c r="B17" i="2"/>
  <c r="E17" i="2"/>
  <c r="H12" i="9"/>
  <c r="H24" i="7"/>
  <c r="H33" i="7"/>
  <c r="G18" i="7"/>
  <c r="G27" i="7"/>
  <c r="F24" i="7"/>
  <c r="F18" i="7"/>
  <c r="F33" i="7"/>
  <c r="I30" i="7"/>
  <c r="C14" i="1"/>
  <c r="D25" i="2"/>
  <c r="K25" i="2"/>
  <c r="B14" i="3"/>
  <c r="I14" i="1"/>
  <c r="C25" i="2"/>
  <c r="H25" i="2"/>
  <c r="L7" i="1"/>
  <c r="I17" i="2"/>
  <c r="D6" i="1"/>
  <c r="D19" i="1" s="1"/>
  <c r="E6" i="1"/>
  <c r="E19" i="1" s="1"/>
  <c r="J23" i="1"/>
  <c r="B24" i="2"/>
  <c r="H14" i="1"/>
  <c r="J17" i="2"/>
  <c r="G17" i="2"/>
  <c r="D13" i="1"/>
  <c r="E13" i="1" s="1"/>
  <c r="E14" i="1" s="1"/>
  <c r="B21" i="2"/>
  <c r="K14" i="3"/>
  <c r="I25" i="2"/>
  <c r="K6" i="1"/>
  <c r="G25" i="2"/>
  <c r="A1" i="2"/>
  <c r="A1" i="4" s="1"/>
  <c r="L9" i="1"/>
  <c r="M9" i="1" s="1"/>
  <c r="F24" i="2"/>
  <c r="B14" i="1"/>
  <c r="L4" i="1"/>
  <c r="L23" i="1" s="1"/>
  <c r="N23" i="1" s="1"/>
  <c r="N4" i="1" s="1"/>
  <c r="I6" i="1"/>
  <c r="F25" i="2"/>
  <c r="N8" i="1"/>
  <c r="I21" i="2"/>
  <c r="H21" i="2"/>
  <c r="K23" i="1"/>
  <c r="H6" i="1"/>
  <c r="F6" i="1"/>
  <c r="F19" i="1" s="1"/>
  <c r="E1" i="4"/>
  <c r="G52" i="13" l="1"/>
  <c r="G61" i="13" s="1"/>
  <c r="E38" i="13"/>
  <c r="E42" i="13"/>
  <c r="E66" i="13" s="1"/>
  <c r="G17" i="23"/>
  <c r="G27" i="30"/>
  <c r="G5" i="30" s="1"/>
  <c r="G9" i="30" s="1"/>
  <c r="G15" i="30" s="1"/>
  <c r="F52" i="13"/>
  <c r="F54" i="13" s="1"/>
  <c r="G23" i="26"/>
  <c r="G20" i="26"/>
  <c r="G25" i="26"/>
  <c r="E17" i="23"/>
  <c r="E27" i="30"/>
  <c r="E5" i="30" s="1"/>
  <c r="E9" i="30" s="1"/>
  <c r="E15" i="30" s="1"/>
  <c r="G21" i="26"/>
  <c r="G33" i="9"/>
  <c r="J17" i="1"/>
  <c r="D17" i="23"/>
  <c r="D27" i="30"/>
  <c r="D5" i="30" s="1"/>
  <c r="D9" i="30" s="1"/>
  <c r="D15" i="30" s="1"/>
  <c r="D29" i="30" s="1"/>
  <c r="I33" i="9"/>
  <c r="H52" i="13"/>
  <c r="H54" i="13" s="1"/>
  <c r="F21" i="30"/>
  <c r="F19" i="30"/>
  <c r="E52" i="13"/>
  <c r="E54" i="13" s="1"/>
  <c r="K17" i="1"/>
  <c r="I17" i="30"/>
  <c r="H19" i="30"/>
  <c r="H21" i="30"/>
  <c r="H27" i="30" s="1"/>
  <c r="H5" i="30" s="1"/>
  <c r="H9" i="30" s="1"/>
  <c r="H15" i="30" s="1"/>
  <c r="H29" i="30" s="1"/>
  <c r="G30" i="7"/>
  <c r="N22" i="14"/>
  <c r="N25" i="14" s="1"/>
  <c r="N26" i="14" s="1"/>
  <c r="I21" i="9"/>
  <c r="G24" i="9"/>
  <c r="F39" i="9"/>
  <c r="H27" i="9"/>
  <c r="H9" i="9"/>
  <c r="K19" i="1"/>
  <c r="F42" i="13"/>
  <c r="F38" i="13"/>
  <c r="F47" i="13"/>
  <c r="F49" i="13" s="1"/>
  <c r="F67" i="13"/>
  <c r="F71" i="13" s="1"/>
  <c r="G21" i="9"/>
  <c r="G14" i="1"/>
  <c r="J25" i="1" s="1"/>
  <c r="H42" i="13"/>
  <c r="H38" i="13"/>
  <c r="M22" i="14"/>
  <c r="M25" i="14" s="1"/>
  <c r="M26" i="14" s="1"/>
  <c r="I27" i="9"/>
  <c r="F27" i="7"/>
  <c r="I33" i="7"/>
  <c r="E47" i="13"/>
  <c r="E67" i="13"/>
  <c r="E71" i="13" s="1"/>
  <c r="H19" i="1"/>
  <c r="J24" i="1" s="1"/>
  <c r="F15" i="9"/>
  <c r="G42" i="13"/>
  <c r="G38" i="13"/>
  <c r="G39" i="9"/>
  <c r="K25" i="1"/>
  <c r="M25" i="1" s="1"/>
  <c r="M14" i="1" s="1"/>
  <c r="D14" i="1"/>
  <c r="H30" i="7"/>
  <c r="G27" i="9"/>
  <c r="G47" i="13"/>
  <c r="G67" i="13"/>
  <c r="G71" i="13" s="1"/>
  <c r="F36" i="9"/>
  <c r="M6" i="14"/>
  <c r="N6" i="14"/>
  <c r="J19" i="1"/>
  <c r="I9" i="9"/>
  <c r="G72" i="13"/>
  <c r="J14" i="1"/>
  <c r="M11" i="1"/>
  <c r="H47" i="13"/>
  <c r="H49" i="13" s="1"/>
  <c r="H67" i="13"/>
  <c r="H71" i="13" s="1"/>
  <c r="I19" i="1"/>
  <c r="G15" i="9"/>
  <c r="G19" i="1"/>
  <c r="F30" i="9"/>
  <c r="F21" i="9"/>
  <c r="I12" i="9"/>
  <c r="F12" i="9"/>
  <c r="H25" i="1"/>
  <c r="N9" i="1"/>
  <c r="L19" i="1"/>
  <c r="L24" i="1" s="1"/>
  <c r="M23" i="1"/>
  <c r="M4" i="1" s="1"/>
  <c r="E60" i="13" l="1"/>
  <c r="E62" i="13" s="1"/>
  <c r="E44" i="13"/>
  <c r="G54" i="13"/>
  <c r="G29" i="30"/>
  <c r="E49" i="13"/>
  <c r="F72" i="13"/>
  <c r="F73" i="13" s="1"/>
  <c r="F61" i="13"/>
  <c r="E61" i="13"/>
  <c r="J17" i="30"/>
  <c r="I19" i="30"/>
  <c r="I21" i="30"/>
  <c r="I27" i="30" s="1"/>
  <c r="I5" i="30" s="1"/>
  <c r="I9" i="30" s="1"/>
  <c r="I15" i="30" s="1"/>
  <c r="I29" i="30" s="1"/>
  <c r="F17" i="23"/>
  <c r="F27" i="30"/>
  <c r="F5" i="30" s="1"/>
  <c r="F9" i="30" s="1"/>
  <c r="F15" i="30" s="1"/>
  <c r="E29" i="30"/>
  <c r="E72" i="13"/>
  <c r="E73" i="13" s="1"/>
  <c r="H61" i="13"/>
  <c r="H72" i="13"/>
  <c r="H73" i="13" s="1"/>
  <c r="G49" i="13"/>
  <c r="H33" i="9"/>
  <c r="E68" i="13"/>
  <c r="G73" i="13"/>
  <c r="H15" i="9"/>
  <c r="H44" i="13"/>
  <c r="H56" i="13" s="1"/>
  <c r="H60" i="13"/>
  <c r="H66" i="13"/>
  <c r="H68" i="13" s="1"/>
  <c r="H24" i="1"/>
  <c r="G44" i="13"/>
  <c r="G66" i="13"/>
  <c r="G68" i="13" s="1"/>
  <c r="G60" i="13"/>
  <c r="G62" i="13" s="1"/>
  <c r="F66" i="13"/>
  <c r="F68" i="13" s="1"/>
  <c r="F60" i="13"/>
  <c r="F62" i="13" s="1"/>
  <c r="F44" i="13"/>
  <c r="F56" i="13" s="1"/>
  <c r="K24" i="1"/>
  <c r="M24" i="1" s="1"/>
  <c r="M6" i="1" s="1"/>
  <c r="M10" i="1" s="1"/>
  <c r="M12" i="1" s="1"/>
  <c r="M13" i="1" s="1"/>
  <c r="M15" i="1" s="1"/>
  <c r="I24" i="1"/>
  <c r="I25" i="1"/>
  <c r="N25" i="1" s="1"/>
  <c r="N14" i="1" s="1"/>
  <c r="I15" i="9"/>
  <c r="F33" i="9"/>
  <c r="E56" i="13" l="1"/>
  <c r="F29" i="30"/>
  <c r="K17" i="30"/>
  <c r="J21" i="30"/>
  <c r="J27" i="30" s="1"/>
  <c r="J5" i="30" s="1"/>
  <c r="J9" i="30" s="1"/>
  <c r="J15" i="30" s="1"/>
  <c r="J29" i="30" s="1"/>
  <c r="J19" i="30"/>
  <c r="E75" i="13"/>
  <c r="G56" i="13"/>
  <c r="H75" i="13"/>
  <c r="H62" i="13"/>
  <c r="F38" i="12"/>
  <c r="F33" i="12"/>
  <c r="H38" i="12"/>
  <c r="H33" i="12"/>
  <c r="G75" i="13"/>
  <c r="M5" i="1"/>
  <c r="F75" i="13"/>
  <c r="N24" i="1"/>
  <c r="N6" i="1" s="1"/>
  <c r="H44" i="12" l="1"/>
  <c r="H45" i="12" s="1"/>
  <c r="H39" i="12"/>
  <c r="H56" i="12"/>
  <c r="H57" i="12" s="1"/>
  <c r="F39" i="12"/>
  <c r="F44" i="12"/>
  <c r="F45" i="12" s="1"/>
  <c r="F56" i="12"/>
  <c r="F57" i="12" s="1"/>
  <c r="L17" i="30"/>
  <c r="K19" i="30"/>
  <c r="K21" i="30"/>
  <c r="K27" i="30" s="1"/>
  <c r="K5" i="30" s="1"/>
  <c r="K9" i="30" s="1"/>
  <c r="K15" i="30" s="1"/>
  <c r="K29" i="30" s="1"/>
  <c r="G38" i="12"/>
  <c r="G33" i="12"/>
  <c r="N10" i="1"/>
  <c r="N12" i="1" s="1"/>
  <c r="N13" i="1" s="1"/>
  <c r="N15" i="1" s="1"/>
  <c r="N5" i="1"/>
  <c r="F61" i="12" l="1"/>
  <c r="F62" i="12" s="1"/>
  <c r="H61" i="12"/>
  <c r="H62" i="12" s="1"/>
  <c r="G56" i="12"/>
  <c r="G57" i="12" s="1"/>
  <c r="G44" i="12"/>
  <c r="G45" i="12" s="1"/>
  <c r="G39" i="12"/>
  <c r="L19" i="30"/>
  <c r="L21" i="30"/>
  <c r="L27" i="30" s="1"/>
  <c r="L5" i="30" s="1"/>
  <c r="L9" i="30" s="1"/>
  <c r="L15" i="30" s="1"/>
  <c r="L29" i="30" s="1"/>
  <c r="G61" i="12" l="1"/>
  <c r="G62" i="12" s="1"/>
  <c r="E33" i="12"/>
  <c r="E38" i="12"/>
  <c r="E39" i="12" s="1"/>
  <c r="D21" i="23"/>
  <c r="E56" i="12" l="1"/>
  <c r="E57" i="12" s="1"/>
  <c r="E44" i="12"/>
  <c r="E45" i="12" s="1"/>
  <c r="E61" i="12" l="1"/>
  <c r="E62"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<sst xmlns="http://schemas.openxmlformats.org/spreadsheetml/2006/main" count="1099" uniqueCount="604">
  <si>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</si>
  <si>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</si>
  <si>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</si>
  <si>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</si>
  <si>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</si>
  <si>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</si>
  <si>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</si>
  <si>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</si>
  <si>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</si>
  <si>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</si>
  <si>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</si>
  <si>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</si>
  <si>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</si>
  <si>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</si>
  <si>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</si>
  <si>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</si>
  <si>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</si>
  <si>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</si>
  <si>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</si>
  <si>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</si>
  <si>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</si>
  <si>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</si>
  <si>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</si>
  <si>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</si>
  <si>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</si>
  <si>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</si>
  <si>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</si>
  <si>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</si>
  <si>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</si>
  <si>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</si>
  <si>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</si>
  <si>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</si>
  <si>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</si>
  <si>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</si>
  <si>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</si>
  <si>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</si>
  <si>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</si>
  <si>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</si>
  <si>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</si>
  <si>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</si>
  <si>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</si>
  <si>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</si>
  <si>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</si>
  <si>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</si>
  <si>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</si>
  <si>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</si>
  <si>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</si>
  <si>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</si>
  <si>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</si>
  <si>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</si>
  <si>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</si>
  <si>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</si>
  <si>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</si>
  <si>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</si>
  <si>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</si>
  <si>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</si>
  <si>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</si>
  <si>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</si>
  <si>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</si>
  <si>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</si>
  <si>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</si>
  <si>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</si>
  <si>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</si>
  <si>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TATA STEEL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</si>
  <si>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</si>
  <si>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</si>
  <si>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</si>
  <si>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</si>
  <si>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</si>
  <si>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</si>
  <si>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</si>
  <si>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</si>
  <si>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</si>
  <si>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</si>
  <si>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</si>
  <si>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</si>
  <si>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</si>
  <si>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</si>
  <si>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</si>
  <si>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</si>
  <si>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</si>
  <si>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</si>
  <si>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</si>
  <si>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</si>
  <si>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</si>
  <si>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</si>
  <si>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</si>
  <si>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</si>
  <si>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</si>
  <si>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</si>
  <si>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</si>
  <si>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</si>
  <si>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</si>
  <si>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 xml:space="preserve">Comparative Statement </t>
  </si>
  <si>
    <t>(In Cr)</t>
  </si>
  <si>
    <t xml:space="preserve">Income Statement </t>
  </si>
  <si>
    <t xml:space="preserve">Particulars </t>
  </si>
  <si>
    <t>y-o-y growth</t>
  </si>
  <si>
    <t>Balance Sheet</t>
  </si>
  <si>
    <t>Trend Analysis</t>
  </si>
  <si>
    <t>Altman's Z Score</t>
  </si>
  <si>
    <t>Financial Summary</t>
  </si>
  <si>
    <t>Workinng Capital/Total Assets</t>
  </si>
  <si>
    <t>Total Assets</t>
  </si>
  <si>
    <t>Working Capital/Total Assets (A)</t>
  </si>
  <si>
    <t>Retained Earnings /Total Assets</t>
  </si>
  <si>
    <t>Retained Earnings</t>
  </si>
  <si>
    <t>Retained Earnings/Total Assets (B)</t>
  </si>
  <si>
    <t>EBIT/Total Assets</t>
  </si>
  <si>
    <t>EBIT</t>
  </si>
  <si>
    <t>EBIT/Total Assets (C)</t>
  </si>
  <si>
    <t>Market Cap/Long Term Liabilities</t>
  </si>
  <si>
    <t>Market Cap</t>
  </si>
  <si>
    <t xml:space="preserve">Long Term Liabilities </t>
  </si>
  <si>
    <t>Market Cap/Long Term Liabilities (D)</t>
  </si>
  <si>
    <t>Sales/Total Assets</t>
  </si>
  <si>
    <t>Return on Assets (E)</t>
  </si>
  <si>
    <t>Altman's Score</t>
  </si>
  <si>
    <t>Final Score</t>
  </si>
  <si>
    <t xml:space="preserve">Financial Stability </t>
  </si>
  <si>
    <t>long term</t>
  </si>
  <si>
    <t xml:space="preserve">Dupont Analysis </t>
  </si>
  <si>
    <t>Return on Equity (ROE)</t>
  </si>
  <si>
    <t xml:space="preserve">Net Profit </t>
  </si>
  <si>
    <t>Average Shareholder Equity</t>
  </si>
  <si>
    <t>ROE-Dupont Equation</t>
  </si>
  <si>
    <t>Revenue</t>
  </si>
  <si>
    <t>Net Profit Margin (A)</t>
  </si>
  <si>
    <t>Average Total Assets</t>
  </si>
  <si>
    <t>Asset Turnover Ratio (B)</t>
  </si>
  <si>
    <t>Equity Mulitplier (C)</t>
  </si>
  <si>
    <t>Return on Equity (A*B*C)</t>
  </si>
  <si>
    <t>Return on Asset</t>
  </si>
  <si>
    <t>ROA - Dupont Equation</t>
  </si>
  <si>
    <t>Return on Asset (A*B)</t>
  </si>
  <si>
    <t>Current Price: INR 187</t>
  </si>
  <si>
    <t>52 Week (High: 224.40 &amp; Low: 152.55)</t>
  </si>
  <si>
    <t>Average</t>
  </si>
  <si>
    <t>Relative Valuation</t>
  </si>
  <si>
    <t>Market Data</t>
  </si>
  <si>
    <t>Financials</t>
  </si>
  <si>
    <t>Valuation</t>
  </si>
  <si>
    <t xml:space="preserve">Company </t>
  </si>
  <si>
    <t>Share Price</t>
  </si>
  <si>
    <t xml:space="preserve">Share Outstanding </t>
  </si>
  <si>
    <t>Equity Value</t>
  </si>
  <si>
    <t>Net Debt</t>
  </si>
  <si>
    <t>Enterpise Value</t>
  </si>
  <si>
    <t>EBIDTA</t>
  </si>
  <si>
    <t>EV/EBIDTA</t>
  </si>
  <si>
    <t>High</t>
  </si>
  <si>
    <t>75th Percentile</t>
  </si>
  <si>
    <t>Median</t>
  </si>
  <si>
    <t>25th Percentile</t>
  </si>
  <si>
    <t>Low</t>
  </si>
  <si>
    <t>Implied Enterprise Value</t>
  </si>
  <si>
    <t>Shares Outstanding</t>
  </si>
  <si>
    <t>Implied Value per Share</t>
  </si>
  <si>
    <t xml:space="preserve">Tata steel </t>
  </si>
  <si>
    <t>JSW Steel</t>
  </si>
  <si>
    <t>Steel Authority of India (SAIL)</t>
  </si>
  <si>
    <t>Jindal Steel and Power</t>
  </si>
  <si>
    <t>Jindal Stainless</t>
  </si>
  <si>
    <t>EV/Revenue</t>
  </si>
  <si>
    <t>Tata Steel Comparable Valuation</t>
  </si>
  <si>
    <t>Weighted Average Cost of Capital</t>
  </si>
  <si>
    <t>In Cr</t>
  </si>
  <si>
    <t>Peer Comps</t>
  </si>
  <si>
    <t>Debt/</t>
  </si>
  <si>
    <t>Levered</t>
  </si>
  <si>
    <t>Unlevered</t>
  </si>
  <si>
    <t>Name</t>
  </si>
  <si>
    <t>Country</t>
  </si>
  <si>
    <t>Total Debt</t>
  </si>
  <si>
    <t>Total Equity</t>
  </si>
  <si>
    <t>Equity</t>
  </si>
  <si>
    <t>Capital</t>
  </si>
  <si>
    <t>India</t>
  </si>
  <si>
    <t>Cost of Debt</t>
  </si>
  <si>
    <t>Cost of Equity</t>
  </si>
  <si>
    <t>Pre-tax Cost of Debt</t>
  </si>
  <si>
    <t>Risk Free Rate</t>
  </si>
  <si>
    <t>Tax Rate</t>
  </si>
  <si>
    <t>Equity Risk Premium</t>
  </si>
  <si>
    <t>After Tax Cost of Debt</t>
  </si>
  <si>
    <t>Capital Structure</t>
  </si>
  <si>
    <t xml:space="preserve">Levered Beta </t>
  </si>
  <si>
    <t>Current</t>
  </si>
  <si>
    <t>Target</t>
  </si>
  <si>
    <t>Comps Median Unlevered Beta</t>
  </si>
  <si>
    <t xml:space="preserve">Target Debt/ Equity  </t>
  </si>
  <si>
    <t>Total Capitalization</t>
  </si>
  <si>
    <t>Levered Beta</t>
  </si>
  <si>
    <t>Debt / Equity</t>
  </si>
  <si>
    <t>1. Tax Rate considered as Marginal Tax Rate for the country</t>
  </si>
  <si>
    <t>Total Cost</t>
  </si>
  <si>
    <t>Total Weight</t>
  </si>
  <si>
    <t>2. Levered Beta is based on 5 year monthly data</t>
  </si>
  <si>
    <t>Debt Capital</t>
  </si>
  <si>
    <t>3. Unlevered Beta = Levered Beta/(1+(1-Tax Rate) x Debt/Equity)</t>
  </si>
  <si>
    <t>Equity Capital</t>
  </si>
  <si>
    <t>4. Levered Beta = Unlevered Beta*(1+(1-Tax Rate) x Debt/Equity)</t>
  </si>
  <si>
    <t>Trade Recievables</t>
  </si>
  <si>
    <t>Inventories</t>
  </si>
  <si>
    <t xml:space="preserve">Other Current Assets </t>
  </si>
  <si>
    <t>Trade Payables</t>
  </si>
  <si>
    <t>Net Working Capital</t>
  </si>
  <si>
    <t>Building</t>
  </si>
  <si>
    <t>Equipments</t>
  </si>
  <si>
    <t>Vehicles</t>
  </si>
  <si>
    <t>Intangible Assets</t>
  </si>
  <si>
    <t>Other fixed assets</t>
  </si>
  <si>
    <t>Gross Block</t>
  </si>
  <si>
    <t>Accumulated Depreciation</t>
  </si>
  <si>
    <r>
      <t>Borrowings </t>
    </r>
    <r>
      <rPr>
        <sz val="11"/>
        <color rgb="FF665EFD"/>
        <rFont val="Arial"/>
        <family val="2"/>
      </rPr>
      <t>-</t>
    </r>
  </si>
  <si>
    <t>Long term Borrowings</t>
  </si>
  <si>
    <t>Short term Borrowings</t>
  </si>
  <si>
    <t>Lease Liabilities</t>
  </si>
  <si>
    <t>Preference Capital</t>
  </si>
  <si>
    <t>Other Borrowings</t>
  </si>
  <si>
    <r>
      <t>Other Liabilities </t>
    </r>
    <r>
      <rPr>
        <sz val="11"/>
        <color rgb="FF665EFD"/>
        <rFont val="Arial"/>
        <family val="2"/>
      </rPr>
      <t>-</t>
    </r>
  </si>
  <si>
    <t>Non controlling int</t>
  </si>
  <si>
    <t>Advance from Customers</t>
  </si>
  <si>
    <t>Other liability items</t>
  </si>
  <si>
    <t>Total Liabilities</t>
  </si>
  <si>
    <r>
      <t>Fixed Assets </t>
    </r>
    <r>
      <rPr>
        <sz val="11"/>
        <color rgb="FF665EFD"/>
        <rFont val="Arial"/>
        <family val="2"/>
      </rPr>
      <t>-</t>
    </r>
  </si>
  <si>
    <t>Land</t>
  </si>
  <si>
    <t>Plant Machinery</t>
  </si>
  <si>
    <t>Furniture n fittings</t>
  </si>
  <si>
    <t>Railway sidings</t>
  </si>
  <si>
    <t>CWIP</t>
  </si>
  <si>
    <r>
      <t>Other Assets </t>
    </r>
    <r>
      <rPr>
        <sz val="11"/>
        <color rgb="FF665EFD"/>
        <rFont val="Arial"/>
        <family val="2"/>
      </rPr>
      <t>-</t>
    </r>
  </si>
  <si>
    <r>
      <t>Trade receivables </t>
    </r>
    <r>
      <rPr>
        <sz val="11"/>
        <color rgb="FF665EFD"/>
        <rFont val="Arial"/>
        <family val="2"/>
      </rPr>
      <t>+</t>
    </r>
  </si>
  <si>
    <t>Cash Equivalents</t>
  </si>
  <si>
    <t>Loans n Advances</t>
  </si>
  <si>
    <t>Other asset items</t>
  </si>
  <si>
    <t xml:space="preserve">Revenue </t>
  </si>
  <si>
    <t>2023A</t>
  </si>
  <si>
    <t>2024A</t>
  </si>
  <si>
    <t>2025A</t>
  </si>
  <si>
    <t>2026A</t>
  </si>
  <si>
    <t>2027F</t>
  </si>
  <si>
    <t>2028F</t>
  </si>
  <si>
    <t>2029F</t>
  </si>
  <si>
    <t>2030F</t>
  </si>
  <si>
    <t>COGS</t>
  </si>
  <si>
    <t>Working Capital Schedule</t>
  </si>
  <si>
    <t>Year</t>
  </si>
  <si>
    <t xml:space="preserve">Operational Driver </t>
  </si>
  <si>
    <t>Revenue (In Cr)</t>
  </si>
  <si>
    <t>Steel Sales Volume (Mnt)</t>
  </si>
  <si>
    <t>Crude Steel Production (Mnt)</t>
  </si>
  <si>
    <t>Installed Capacity (Mnt)</t>
  </si>
  <si>
    <t>2025-26</t>
  </si>
  <si>
    <t>2024-25</t>
  </si>
  <si>
    <t>2023-24</t>
  </si>
  <si>
    <t>2022-23</t>
  </si>
  <si>
    <t>Historical growth</t>
  </si>
  <si>
    <t xml:space="preserve">Average Selling Price </t>
  </si>
  <si>
    <t>Average Selling Price (ASP)</t>
  </si>
  <si>
    <t>ASP(Rs/Tonne)</t>
  </si>
  <si>
    <t>Deliveries (Mnt)</t>
  </si>
  <si>
    <t>Revenue (Rs Cr)</t>
  </si>
  <si>
    <t>Historical Drivers</t>
  </si>
  <si>
    <t xml:space="preserve">Sales Volume </t>
  </si>
  <si>
    <t xml:space="preserve">Volume Growth </t>
  </si>
  <si>
    <t xml:space="preserve">Assumptions </t>
  </si>
  <si>
    <t>Volume Growth:Based on historical sales CAGR, capacity additions, and demand outlook.</t>
  </si>
  <si>
    <t>ASP Growth:Based on normalized long-term steel pricing and inflation.</t>
  </si>
  <si>
    <t>Average Selling Price Growth</t>
  </si>
  <si>
    <t>#</t>
  </si>
  <si>
    <t>Power &amp; Fuel (% Revenue)</t>
  </si>
  <si>
    <t>Material Cost (% Revenue)</t>
  </si>
  <si>
    <t>Manufacturing OH (% Revenue)</t>
  </si>
  <si>
    <t>Mining Cost (% Revenue)</t>
  </si>
  <si>
    <t>Freight &amp; Logistics (% Revenue)</t>
  </si>
  <si>
    <t>Total Manufacturing Cost (% Revenue)</t>
  </si>
  <si>
    <t>Employee Benefits (% Revenue)</t>
  </si>
  <si>
    <t>Other Operating Expenses (% Revenue)</t>
  </si>
  <si>
    <t>Total Operating Expenses (% Revenue)</t>
  </si>
  <si>
    <t xml:space="preserve">Manufacturing Cost Drivers </t>
  </si>
  <si>
    <t xml:space="preserve">Operating Expense Drivers </t>
  </si>
  <si>
    <t>Material Cost: Forecast to decline gradually due to procurement efficiencies and improved raw material sourcing.</t>
  </si>
  <si>
    <t>Manufacturing Overheads: Forecast to improve marginally with better operational efficiency and higher capacity utilization.</t>
  </si>
  <si>
    <t>Power &amp; Fuel: Assumed to remain broadly stable, supported by operational efficiencies and normalized energy costs.</t>
  </si>
  <si>
    <t>Mining Cost: Forecast to remain stable, reflecting captive mining operations and a consistent royalty structure.</t>
  </si>
  <si>
    <t>Freight &amp; Logistics: Expected to improve gradually through logistics optimization and supply chain efficiencies.</t>
  </si>
  <si>
    <t>Employee Benefits: Forecast to decline marginally as a percentage of revenue, driven by productivity improvements and operating leverage.</t>
  </si>
  <si>
    <t>Corporate &amp; Administrative Expenses: Forecast to improve gradually through disciplined cost management and administrative efficiencies.</t>
  </si>
  <si>
    <t>Costs Driver</t>
  </si>
  <si>
    <t xml:space="preserve">Plant, Property and Equipment Schedule </t>
  </si>
  <si>
    <t>Opening Net PPE</t>
  </si>
  <si>
    <t xml:space="preserve">Capital Expenditure </t>
  </si>
  <si>
    <t xml:space="preserve">Depreciation &amp; Amortization </t>
  </si>
  <si>
    <t>Closing Net PPE</t>
  </si>
  <si>
    <t>Capex (% Revenue)</t>
  </si>
  <si>
    <t xml:space="preserve">Depreciation &amp; Amortization (%Revenue) </t>
  </si>
  <si>
    <t>Net capital expenditure is forecast as a percentage of revenue, reflecting maintenance requirements and planned capacity expansion.</t>
  </si>
  <si>
    <t>Depreciation is projected using a stable depreciation rate on opening net PPE based on historical asset utilization.</t>
  </si>
  <si>
    <t>Change in NWC</t>
  </si>
  <si>
    <t>Working Capital Days</t>
  </si>
  <si>
    <t>Receivable Days</t>
  </si>
  <si>
    <t>Inventory Days</t>
  </si>
  <si>
    <t>Payable Days</t>
  </si>
  <si>
    <t>-</t>
  </si>
  <si>
    <t>Receivable days are assumed to remain stable, reflecting efficient customer collections and consistent credit policies.</t>
  </si>
  <si>
    <t>Inventory days are projected to improve gradually through better inventory management and production planning.</t>
  </si>
  <si>
    <t>Payable days are forecast to remain broadly stable, supported by strong supplier relationships and disciplined procurement practices.</t>
  </si>
  <si>
    <t>Net working capital is forecast using historical operating cycles and is expected to remain efficiently managed over the forecast period.</t>
  </si>
  <si>
    <t xml:space="preserve">Debt Schedule </t>
  </si>
  <si>
    <t>Opening Debt</t>
  </si>
  <si>
    <t>Closing Debt</t>
  </si>
  <si>
    <t>Average Debt</t>
  </si>
  <si>
    <t>Cost of Debt %</t>
  </si>
  <si>
    <t>Finance Cost</t>
  </si>
  <si>
    <t>2031F</t>
  </si>
  <si>
    <t>Closing debt is forecast to decline gradually, reflecting the company's deleveraging strategy and healthy cash flow generation.</t>
  </si>
  <si>
    <t>Cost of debt is projected to decline marginally, reflecting an improving debt profile and stable borrowing conditions.</t>
  </si>
  <si>
    <t>Interest expense is calculated using the average debt balance and the estimated cost of debt.</t>
  </si>
  <si>
    <t xml:space="preserve">Forecasted Income Statement </t>
  </si>
  <si>
    <t>Manufacturing Cost (COGS)</t>
  </si>
  <si>
    <t xml:space="preserve">Gross Profit </t>
  </si>
  <si>
    <t xml:space="preserve">Employee Benefits </t>
  </si>
  <si>
    <t>Other Operating Expenses</t>
  </si>
  <si>
    <t>EBITDA</t>
  </si>
  <si>
    <t>Depreciation &amp; Amortization</t>
  </si>
  <si>
    <t>Interest Expense</t>
  </si>
  <si>
    <t>EBT</t>
  </si>
  <si>
    <t>Tax Expense (30%)</t>
  </si>
  <si>
    <t>Profit after Tax (PAT)</t>
  </si>
  <si>
    <t>Growth Margins</t>
  </si>
  <si>
    <t>Net PP&amp;E</t>
  </si>
  <si>
    <t>Goodwill</t>
  </si>
  <si>
    <t xml:space="preserve">Forecasted Balance Sheet </t>
  </si>
  <si>
    <t xml:space="preserve">Cash and Cash Equivalent </t>
  </si>
  <si>
    <t xml:space="preserve">Trade Recievables </t>
  </si>
  <si>
    <t xml:space="preserve">Inventory </t>
  </si>
  <si>
    <t xml:space="preserve">Total Current Assets </t>
  </si>
  <si>
    <t xml:space="preserve">investments </t>
  </si>
  <si>
    <t xml:space="preserve">Other Non Current Assets </t>
  </si>
  <si>
    <t xml:space="preserve">Total assets </t>
  </si>
  <si>
    <t xml:space="preserve">Share Capital </t>
  </si>
  <si>
    <t xml:space="preserve">Other Equity </t>
  </si>
  <si>
    <t>Other Current Liabilites</t>
  </si>
  <si>
    <t xml:space="preserve">Other Non Current Liabilites </t>
  </si>
  <si>
    <t>Equity and Total Liabilties</t>
  </si>
  <si>
    <t xml:space="preserve">Balance Check </t>
  </si>
  <si>
    <t xml:space="preserve">Forecasted Cash Flow </t>
  </si>
  <si>
    <t>Cash Flow from Operating Activities</t>
  </si>
  <si>
    <t>Profit After Tax</t>
  </si>
  <si>
    <t>Add: Depreciation &amp; Amortization</t>
  </si>
  <si>
    <t>Add/Less: Working Capital</t>
  </si>
  <si>
    <t>Cash from Operations (CFO)</t>
  </si>
  <si>
    <t>Cash Flow from Investing Activities</t>
  </si>
  <si>
    <t>Capital Expenditure</t>
  </si>
  <si>
    <t>Cash from Investing (CFI)</t>
  </si>
  <si>
    <t>Cash Flow from Financing Activities</t>
  </si>
  <si>
    <t>Net Borrowing/(Repayment)</t>
  </si>
  <si>
    <t>Cash from Financing (CFF)</t>
  </si>
  <si>
    <t>Net Change in Cash</t>
  </si>
  <si>
    <t>Opening Cash</t>
  </si>
  <si>
    <t>Closing Cash</t>
  </si>
  <si>
    <t>Equity attributable to owners</t>
  </si>
  <si>
    <t>Non-controlling Interest</t>
  </si>
  <si>
    <t xml:space="preserve">FCFF Schedule </t>
  </si>
  <si>
    <t xml:space="preserve">EBIT </t>
  </si>
  <si>
    <t xml:space="preserve">Tax Rate </t>
  </si>
  <si>
    <t>Add: Depreciation</t>
  </si>
  <si>
    <t>Less: Capex</t>
  </si>
  <si>
    <t xml:space="preserve">Less: Net Working Capital Change </t>
  </si>
  <si>
    <t>FCFF</t>
  </si>
  <si>
    <t>EBIT (1-Tax Rate)</t>
  </si>
  <si>
    <t>Free Cash Flow to Firm (FCFF)</t>
  </si>
  <si>
    <t xml:space="preserve">Discounting Factor </t>
  </si>
  <si>
    <t>PV of FCFF</t>
  </si>
  <si>
    <t xml:space="preserve">Expected Growth </t>
  </si>
  <si>
    <t xml:space="preserve">Terminal Growth </t>
  </si>
  <si>
    <t>WACC</t>
  </si>
  <si>
    <t>Terminal Value</t>
  </si>
  <si>
    <t>FCFF(n+1)</t>
  </si>
  <si>
    <t>Terminal Growth Rate</t>
  </si>
  <si>
    <t>Calculation of Enterprise Value</t>
  </si>
  <si>
    <t>Pv of Terminal Value</t>
  </si>
  <si>
    <t xml:space="preserve">Value of Operating Assets </t>
  </si>
  <si>
    <t>Add Cash</t>
  </si>
  <si>
    <t>Less Debt</t>
  </si>
  <si>
    <t xml:space="preserve">No. of Shares </t>
  </si>
  <si>
    <t>Value of shares</t>
  </si>
  <si>
    <t>Drivers</t>
  </si>
  <si>
    <t xml:space="preserve">Driver Switch </t>
  </si>
  <si>
    <t>Revenue Growth</t>
  </si>
  <si>
    <t>Base Case</t>
  </si>
  <si>
    <t>Average Selling Price</t>
  </si>
  <si>
    <t>Other operating Expense</t>
  </si>
  <si>
    <t>Recievable Days</t>
  </si>
  <si>
    <t xml:space="preserve">Deprication &amp; Amortization </t>
  </si>
  <si>
    <t>Material Cost</t>
  </si>
  <si>
    <t>Beta: Median unlevered beta of the peer group is relevered using Tata Steel's target capital structure to estimate the company's systematic risk.</t>
  </si>
  <si>
    <t>Risk-Free Rate: Based on the yield of the 10-year Government of India bond as a proxy for the risk-free return.</t>
  </si>
  <si>
    <t>Equity Risk Premium (ERP): Assumed at 7.50%, reflecting the long-term market risk premium for Indian equities.</t>
  </si>
  <si>
    <t>Cost of Debt: Estimated using the company's historical pre-tax borrowing cost and adjusted for the applicable corporate tax rate.</t>
  </si>
  <si>
    <t>Target Capital Structure: The valuation assumes a long-term target capital structure of 25% debt and 75% equity, reflecting a conservative financing mix.</t>
  </si>
  <si>
    <t>Cost of Equity: Estimated using the Capital Asset Pricing Model (CAPM): Risk-Free Rate + (Levered Beta × Equity Risk Premium).</t>
  </si>
  <si>
    <t>WACC: Calculated as the weighted average of the after-tax cost of debt and the cost of equity based on the target capital structure.</t>
  </si>
  <si>
    <t>Senstivity Analysis</t>
  </si>
  <si>
    <t>Terminal Growth ↓ / WACC →</t>
  </si>
  <si>
    <t xml:space="preserve">Football Field Analysis </t>
  </si>
  <si>
    <t>Valuation Method</t>
  </si>
  <si>
    <t>DCF</t>
  </si>
  <si>
    <t>EV / EBITDA</t>
  </si>
  <si>
    <t>EV / Revenue</t>
  </si>
  <si>
    <t>Current Market Price</t>
  </si>
  <si>
    <t>Start</t>
  </si>
  <si>
    <t xml:space="preserve">Low </t>
  </si>
  <si>
    <t>Width</t>
  </si>
  <si>
    <t xml:space="preserve">Interpretation </t>
  </si>
  <si>
    <t>EV/EBIT</t>
  </si>
  <si>
    <t xml:space="preserve">Ratio Analysis </t>
  </si>
  <si>
    <t xml:space="preserve">Liquidity Ratio </t>
  </si>
  <si>
    <t xml:space="preserve">Current Ratio </t>
  </si>
  <si>
    <t xml:space="preserve">Quick Ratio </t>
  </si>
  <si>
    <t>FY23</t>
  </si>
  <si>
    <t>FY24</t>
  </si>
  <si>
    <t>FY25</t>
  </si>
  <si>
    <t>FY26</t>
  </si>
  <si>
    <t>Profitability Ratio</t>
  </si>
  <si>
    <t xml:space="preserve">Gross Profit Margin </t>
  </si>
  <si>
    <t xml:space="preserve">Operating Profit Margin </t>
  </si>
  <si>
    <t>Net Profit Margin</t>
  </si>
  <si>
    <t xml:space="preserve">Return on Assets </t>
  </si>
  <si>
    <t>Return on Capital Employed</t>
  </si>
  <si>
    <t>Debtors Turnover</t>
  </si>
  <si>
    <t>Asset Turnover</t>
  </si>
  <si>
    <t>Working Capital Turnover</t>
  </si>
  <si>
    <t xml:space="preserve">Solvency Ratio </t>
  </si>
  <si>
    <t xml:space="preserve">Debt Equity Ratio </t>
  </si>
  <si>
    <t xml:space="preserve">Interest Coverage Ratio </t>
  </si>
  <si>
    <t>P/E Ratio</t>
  </si>
  <si>
    <t>Gross Profit Margin: Gross margin improved to 15% in FY26, indicating better control over production costs and stronger pricing.</t>
  </si>
  <si>
    <t>Operating Profit Margin: Operating margin recovered steadily after FY24, reflecting improved operating efficiency and cost management.</t>
  </si>
  <si>
    <t>Net Profit Margin: Net margin turned positive after FY24 and increased to 5% in FY26, indicating improved overall profitability.</t>
  </si>
  <si>
    <t>Return on Assets (ROA): ROA improved consistently after FY24, reflecting better utilization of the company's asset base.</t>
  </si>
  <si>
    <t>Return on Equity (ROE): ROE recovered from a negative return in FY24 to 11% in FY26, indicating improved returns for shareholders.</t>
  </si>
  <si>
    <t>Return on Capital Employed (ROCE): ROCE improved over the period, demonstrating more efficient utilization of long-term capital.</t>
  </si>
  <si>
    <t xml:space="preserve">Efficiency Ratio </t>
  </si>
  <si>
    <t>Inventory Turnover: Inventory turnover remained around 3x, indicating efficient inventory management and steady inventory movement.</t>
  </si>
  <si>
    <t>Debtors Turnover: Debtors turnover remained stable, reflecting consistent collection efficiency and effective receivables management.</t>
  </si>
  <si>
    <t>Asset Turnover: Asset turnover improved gradually from 0.53x to 0.64x, indicating better utilization of assets to generate revenue.</t>
  </si>
  <si>
    <t>Working Capital Turnover: Working capital turnover increased to 13.38x in FY26, reflecting improved efficiency in utilizing working capital to drive sales.</t>
  </si>
  <si>
    <t>Debt Equity Ratio: The debt-equity ratio remained below 1x throughout the period, indicating a balanced capital structure and prudent use of leverage.</t>
  </si>
  <si>
    <t>Interest Coverage Ratio: The interest coverage ratio remained above 3.5x, reflecting the company's strong ability to meet its interest obligations from operating earnings.</t>
  </si>
  <si>
    <t>Earnings Per Share (EPS): EPS recovered strongly after the FY24 loss, increasing to ?8.65 in FY26, reflecting improved profitability.</t>
  </si>
  <si>
    <t>P/E Ratio: The P/E ratio normalized to 21.66x in FY26 as earnings strengthened, while the negative value in FY24 was due to the reported loss.</t>
  </si>
  <si>
    <t>Dividend Payout Ratio: The company maintained a conservative dividend payout policy, retaining most of its earnings for business growth and capital requirements.</t>
  </si>
  <si>
    <t xml:space="preserve">Interpretations </t>
  </si>
  <si>
    <t>Key Company Details</t>
  </si>
  <si>
    <t xml:space="preserve">Scope of Work </t>
  </si>
  <si>
    <t>Chief Operating Officer/Managing Director</t>
  </si>
  <si>
    <t>Headquarters</t>
  </si>
  <si>
    <t>Mumbai, Maharashtra</t>
  </si>
  <si>
    <t xml:space="preserve">FY26 Revenue </t>
  </si>
  <si>
    <t>FY26 EBITDA</t>
  </si>
  <si>
    <t>Major Shareholders</t>
  </si>
  <si>
    <t>Key Growth Catalysts</t>
  </si>
  <si>
    <t>Tata Steel</t>
  </si>
  <si>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</si>
  <si>
    <t>This report presents an equity valuation of Tata Steel Limited to assess its intrinsic value relative to current market pricing. The analysis begins with DuPont Analysis (decomposing Return on Equity into profitability, efficiency, and leverage drivers) and Altman's Z-Score (assessing financial distress risk) to review financial health and earnings quality. A set of operating assumptions, revenue, cost structure, working capital, and capex/depreciation, was then developed to project financials through FY2031, feeding a Discounted Cash Flow valuation. The discount rate uses a bottom-up WACC build with peer beta relevering to a target capital structure, tested across Best/Base/Worst capex scenarios and a WACC-terminal growth sensitivity table. In parallel, Relative Valuation applies EV/EBITDA, EV/Revenue, and EV/EBIT multiples against domestic peers (JSW Steel, SAIL, Jindal Steel &amp; Power, Jindal Stainless). Findings from both approaches are consolidated in a Football Field Analysis, comparing implied valuation ranges against the current market price to support a view on whether Tata Steel is fairly priced, undervalued, or overvalued.</t>
  </si>
  <si>
    <t>Dr.T. V. Narendran</t>
  </si>
  <si>
    <t>₹ 2,32,140 Crores</t>
  </si>
  <si>
    <t>₹ 51,186 Crores</t>
  </si>
  <si>
    <t>Promotors (32.94%)</t>
  </si>
  <si>
    <t>FIIs (18.9%)</t>
  </si>
  <si>
    <t>DIIs (26.4%)</t>
  </si>
  <si>
    <t>Government and Public ( 21.7%)</t>
  </si>
  <si>
    <t>Capacity Expansion: Ongoing expansion projects in India are expected to increase production capacity and support long-term revenue growth.</t>
  </si>
  <si>
    <t>Infrastructure Demand: Rising government spending on infrastructure and construction is expected to drive domestic steel demand.</t>
  </si>
  <si>
    <t>Value-Added Products: Increasing focus on high-margin value-added steel products is likely to improve profitability and operating margins.</t>
  </si>
  <si>
    <t>Operational Efficiency: Continuous cost optimization, digitalization, and efficiency initiatives are expected to enhance margins and cash flow generation.</t>
  </si>
  <si>
    <t xml:space="preserve">Key Financial Metrics </t>
  </si>
  <si>
    <t>In (Cr)</t>
  </si>
  <si>
    <t>Particulars</t>
  </si>
  <si>
    <t>Trend Line</t>
  </si>
  <si>
    <t>Important Data</t>
  </si>
  <si>
    <t>Total Sales</t>
  </si>
  <si>
    <t>Sales Growth (y-o-y)</t>
  </si>
  <si>
    <t xml:space="preserve">EBITDA </t>
  </si>
  <si>
    <t>EBITDA Margin (%)</t>
  </si>
  <si>
    <t>EBIT Margin (%)</t>
  </si>
  <si>
    <t>PAT</t>
  </si>
  <si>
    <t>Net Margins (%)</t>
  </si>
  <si>
    <t>Earnings Per Share</t>
  </si>
  <si>
    <t>EPS Growth (y-o-y)</t>
  </si>
  <si>
    <t>Financial Ratios</t>
  </si>
  <si>
    <t xml:space="preserve">Debt to Equity </t>
  </si>
  <si>
    <t>Interest Coverage</t>
  </si>
  <si>
    <t xml:space="preserve">Return on Equity </t>
  </si>
  <si>
    <t xml:space="preserve">Return on Capital Employed </t>
  </si>
  <si>
    <t>Peer Comparision (Mar 26)</t>
  </si>
  <si>
    <t>EBITDA Margins</t>
  </si>
  <si>
    <t xml:space="preserve">Net Margins </t>
  </si>
  <si>
    <t>SAIL</t>
  </si>
  <si>
    <t>Jindal Steel</t>
  </si>
  <si>
    <t>Date</t>
  </si>
  <si>
    <t>Vol.</t>
  </si>
  <si>
    <t>x</t>
  </si>
  <si>
    <t>(TATA Steel BSE Code: 500470)</t>
  </si>
  <si>
    <t>Discounted Cash Flow - Base Case</t>
  </si>
  <si>
    <t xml:space="preserve">Beneish M Score </t>
  </si>
  <si>
    <t xml:space="preserve">Historical Input </t>
  </si>
  <si>
    <t>Trade Receivables</t>
  </si>
  <si>
    <t>Current Assets</t>
  </si>
  <si>
    <t>SG&amp;A</t>
  </si>
  <si>
    <t>Cash Flow from Operations</t>
  </si>
  <si>
    <t>Beneish Score</t>
  </si>
  <si>
    <t xml:space="preserve">Score </t>
  </si>
  <si>
    <t>Days' Sales in Receivables Index</t>
  </si>
  <si>
    <t>Gross Margin Index</t>
  </si>
  <si>
    <t>Asset Quality Index</t>
  </si>
  <si>
    <t>Sales Growth Index</t>
  </si>
  <si>
    <t>Depreciation Index</t>
  </si>
  <si>
    <t>Selling, General &amp; Administrative Index</t>
  </si>
  <si>
    <t>Leverage Index</t>
  </si>
  <si>
    <t>Total Accruals to Total Assets</t>
  </si>
  <si>
    <t>Variable</t>
  </si>
  <si>
    <t>Weight</t>
  </si>
  <si>
    <t>Constant</t>
  </si>
  <si>
    <t>−4.84</t>
  </si>
  <si>
    <t>DSRI</t>
  </si>
  <si>
    <t>GMI</t>
  </si>
  <si>
    <t>AQI</t>
  </si>
  <si>
    <t>SGI</t>
  </si>
  <si>
    <t>DEPI</t>
  </si>
  <si>
    <t>SGAI</t>
  </si>
  <si>
    <t>−0.172</t>
  </si>
  <si>
    <t>TATA</t>
  </si>
  <si>
    <t>LVGI</t>
  </si>
  <si>
    <t>−0.327</t>
  </si>
  <si>
    <t xml:space="preserve">M score </t>
  </si>
  <si>
    <t xml:space="preserve">Implied Equity Value </t>
  </si>
  <si>
    <r>
      <t>Cash from Operating Activity </t>
    </r>
    <r>
      <rPr>
        <sz val="11"/>
        <color rgb="FF665EFD"/>
        <rFont val="Arial"/>
        <family val="2"/>
      </rPr>
      <t>-</t>
    </r>
  </si>
  <si>
    <t>Profit from operations</t>
  </si>
  <si>
    <t>Payables</t>
  </si>
  <si>
    <t>Other WC items</t>
  </si>
  <si>
    <t>Working capital changes</t>
  </si>
  <si>
    <t>Direct taxes</t>
  </si>
  <si>
    <r>
      <t>Cash from Investing Activity </t>
    </r>
    <r>
      <rPr>
        <sz val="11"/>
        <color rgb="FF665EFD"/>
        <rFont val="Arial"/>
        <family val="2"/>
      </rPr>
      <t>-</t>
    </r>
  </si>
  <si>
    <t>Fixed assets purchased</t>
  </si>
  <si>
    <t>Fixed assets sold</t>
  </si>
  <si>
    <t>Investments purchased</t>
  </si>
  <si>
    <t>Investments sold</t>
  </si>
  <si>
    <t>Interest received</t>
  </si>
  <si>
    <t>Dividends received</t>
  </si>
  <si>
    <t>Redemp n Canc of Shares</t>
  </si>
  <si>
    <t>Acquisition of companies</t>
  </si>
  <si>
    <t>Inter corporate deposits</t>
  </si>
  <si>
    <t>Other investing items</t>
  </si>
  <si>
    <r>
      <t>Cash from Financing Activity </t>
    </r>
    <r>
      <rPr>
        <sz val="11"/>
        <color rgb="FF665EFD"/>
        <rFont val="Arial"/>
        <family val="2"/>
      </rPr>
      <t>-</t>
    </r>
  </si>
  <si>
    <t>Proceeds from shares</t>
  </si>
  <si>
    <t>Proceeds from borrowings</t>
  </si>
  <si>
    <t>Repayment of borrowings</t>
  </si>
  <si>
    <t>Interest paid fin</t>
  </si>
  <si>
    <t>Dividends paid</t>
  </si>
  <si>
    <t>Financial liabilities</t>
  </si>
  <si>
    <t>Other financing items</t>
  </si>
  <si>
    <t>Free Cash Flow</t>
  </si>
  <si>
    <t>CFO/OP</t>
  </si>
  <si>
    <t xml:space="preserve">Cash Flow </t>
  </si>
  <si>
    <t xml:space="preserve">Cash From Operating Activites </t>
  </si>
  <si>
    <t xml:space="preserve">Cash Flow From Investing Activity </t>
  </si>
  <si>
    <t xml:space="preserve">Cash From Financing Activity </t>
  </si>
  <si>
    <t xml:space="preserve">Cash From Investing Activity </t>
  </si>
  <si>
    <t xml:space="preserve">Cash Flow From Financing Activity </t>
  </si>
  <si>
    <t>Historical Financial Statement - "TATA STEEL"</t>
  </si>
  <si>
    <t>Gross Profit</t>
  </si>
  <si>
    <t>Selling &amp; General Expenses</t>
  </si>
  <si>
    <t>Earnings Before Tax</t>
  </si>
  <si>
    <t>Net Profit</t>
  </si>
  <si>
    <t>No of Equity Shares</t>
  </si>
  <si>
    <t>Earnings per Share</t>
  </si>
  <si>
    <t>Dividend per Share</t>
  </si>
  <si>
    <t>Dividend payout ratio</t>
  </si>
  <si>
    <t>Fixed Assets Net Block</t>
  </si>
  <si>
    <t>Total Non Current Assets</t>
  </si>
  <si>
    <t>Total Current Assets</t>
  </si>
  <si>
    <t>Check</t>
  </si>
  <si>
    <t xml:space="preserve">Cost of Goods Sold </t>
  </si>
  <si>
    <t xml:space="preserve">Trade Payables </t>
  </si>
  <si>
    <t xml:space="preserve">Advance From Customers </t>
  </si>
  <si>
    <t xml:space="preserve">Fixed Assets </t>
  </si>
  <si>
    <t xml:space="preserve">Investments </t>
  </si>
  <si>
    <t xml:space="preserve">Others Assets </t>
  </si>
  <si>
    <t xml:space="preserve">Recievables </t>
  </si>
  <si>
    <t xml:space="preserve">Cash at Bank </t>
  </si>
  <si>
    <t xml:space="preserve">Balance Sheet </t>
  </si>
  <si>
    <t xml:space="preserve">Loan and Advances </t>
  </si>
  <si>
    <t>`</t>
  </si>
  <si>
    <t>FY22</t>
  </si>
  <si>
    <t>Quick Ratio: The quick ratioFell from 0.30x to 0.15x, showing limited ability to meet short-term obligations without relying on inventory.</t>
  </si>
  <si>
    <t>Current Ratio: The current ratio declined from 0.83x to 0.61x, indicating weakening short-term liquidity.</t>
  </si>
  <si>
    <t xml:space="preserve"> </t>
  </si>
  <si>
    <r>
      <t xml:space="preserve">Tax Rate </t>
    </r>
    <r>
      <rPr>
        <b/>
        <vertAlign val="superscript"/>
        <sz val="11"/>
        <color theme="0"/>
        <rFont val="Calibri"/>
        <family val="2"/>
        <scheme val="minor"/>
      </rPr>
      <t>1</t>
    </r>
  </si>
  <si>
    <r>
      <t xml:space="preserve">Beta </t>
    </r>
    <r>
      <rPr>
        <b/>
        <vertAlign val="superscript"/>
        <sz val="11"/>
        <color theme="0"/>
        <rFont val="Calibri"/>
        <family val="2"/>
        <scheme val="minor"/>
      </rPr>
      <t>2</t>
    </r>
  </si>
  <si>
    <r>
      <t xml:space="preserve">Beta </t>
    </r>
    <r>
      <rPr>
        <b/>
        <vertAlign val="superscript"/>
        <sz val="11"/>
        <color theme="0"/>
        <rFont val="Calibri"/>
        <family val="2"/>
        <scheme val="minor"/>
      </rPr>
      <t>3</t>
    </r>
  </si>
  <si>
    <r>
      <t xml:space="preserve">Levered Beta </t>
    </r>
    <r>
      <rPr>
        <vertAlign val="superscript"/>
        <sz val="11"/>
        <color theme="1"/>
        <rFont val="Calibri"/>
        <family val="2"/>
        <scheme val="minor"/>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</si>
</sst>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quot;₹&quot;\ * #,##0.00_ ;_ &quot;₹&quot;\ * \-#,##0.00_ ;_ &quot;₹&quot;\ * &quot;-&quot;??_ ;_ @_ "/>
    <numFmt numFmtId="43" formatCode="_ * #,##0.00_ ;_ * \-#,##0.00_ ;_ * &quot;-&quot;??_ ;_ @_ "/>
    <numFmt numFmtId="164" formatCode="_(* #,##0.00_);_(* \(#,##0.00\);_(* &quot;-&quot;??_);_(@_)"/>
    <numFmt numFmtId="165" formatCode="[$-409]mmm\-yy;@"/>
    <numFmt numFmtId="166" formatCode="_ [$₹-4009]\ * #,##0.00_ ;_ [$₹-4009]\ * \-#,##0.00_ ;_ [$₹-4009]\ * &quot;-&quot;??_ ;_ @_ "/>
    <numFmt numFmtId="167" formatCode="0.000%"/>
    <numFmt numFmtId="168" formatCode="0.0\x"/>
    <numFmt numFmtId="169" formatCode="#,##0.0"/>
    <numFmt numFmtId="170" formatCode="0.0%"/>
    <numFmt numFmtId="171" formatCode="yyyy&quot;A&quot;"/>
    <numFmt numFmtId="172" formatCode="0\ &quot;days&quot;"/>
    <numFmt numFmtId="173" formatCode="_ * #,##0.0_ ;_ * \-#,##0.0_ ;_ * &quot;-&quot;??_ ;_ @_ "/>
    <numFmt numFmtId="174" formatCode="0.000"/>
    <numFmt numFmtId="175" formatCode="0.00\x"/>
    <numFmt numFmtId="176" formatCode="_ * #,##0.0_ ;_ * \-#,##0.0_ ;_ * &quot;-&quot;?_ ;_ @_ "/>
    <numFmt numFmtId="177" formatCode="0.0"/>
    <numFmt numFmtId="178" formatCode="0.00&quot;x&quot;"/>
    <numFmt numFmtId="179" formatCode="&quot;₹&quot;\ #,##0.0;\(&quot;₹&quot;\ #,##0.0\);\-"/>
    <numFmt numFmtId="180" formatCode="&quot;₹&quot;\ #,##0.00"/>
  </numFmts>
  <fonts count="50" x14ac:knownFonts="1">
    <font>
      <sz val="11"/>
      <color theme="1"/>
      <name val="Calibri"/>
      <family val="2"/>
      <scheme val="minor"/>
    </font>
    <font>
      <sz val="11"/>
      <color theme="1"/>
      <name val="Calibri"/>
      <family val="2"/>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sz val="12"/>
      <color theme="0"/>
      <name val="Calibri"/>
      <family val="2"/>
      <scheme val="minor"/>
    </font>
    <font>
      <sz val="14"/>
      <color theme="0"/>
      <name val="Calibri"/>
      <family val="2"/>
      <scheme val="minor"/>
    </font>
    <font>
      <i/>
      <sz val="11"/>
      <color theme="1" tint="0.34998626667073579"/>
      <name val="Calibri"/>
      <family val="2"/>
      <scheme val="minor"/>
    </font>
    <font>
      <sz val="11"/>
      <color theme="1" tint="0.34998626667073579"/>
      <name val="Calibri"/>
      <family val="2"/>
      <scheme val="minor"/>
    </font>
    <font>
      <b/>
      <i/>
      <sz val="11"/>
      <name val="Calibri"/>
      <family val="2"/>
      <scheme val="minor"/>
    </font>
    <font>
      <i/>
      <sz val="11"/>
      <name val="Calibri"/>
      <family val="2"/>
      <scheme val="minor"/>
    </font>
    <font>
      <b/>
      <sz val="11"/>
      <name val="Calibri"/>
      <family val="2"/>
      <scheme val="minor"/>
    </font>
    <font>
      <b/>
      <sz val="11"/>
      <color theme="0"/>
      <name val="Calibri"/>
      <family val="2"/>
    </font>
    <font>
      <b/>
      <sz val="11"/>
      <color theme="1"/>
      <name val="Calibri"/>
      <family val="2"/>
    </font>
    <font>
      <b/>
      <sz val="11"/>
      <color rgb="FF002060"/>
      <name val="Calibri"/>
      <family val="2"/>
      <scheme val="minor"/>
    </font>
    <font>
      <sz val="11"/>
      <color rgb="FF22222F"/>
      <name val="Arial"/>
      <family val="2"/>
    </font>
    <font>
      <sz val="11"/>
      <color theme="1"/>
      <name val="Times New Roman"/>
      <family val="1"/>
    </font>
    <font>
      <sz val="11"/>
      <color rgb="FF606F7B"/>
      <name val="Arial"/>
      <family val="2"/>
    </font>
    <font>
      <sz val="11"/>
      <color rgb="FF22222F"/>
      <name val="Arial"/>
      <family val="2"/>
    </font>
    <font>
      <sz val="11"/>
      <color rgb="FF665EFD"/>
      <name val="Arial"/>
      <family val="2"/>
    </font>
    <font>
      <sz val="11"/>
      <color rgb="FF0070C0"/>
      <name val="Calibri"/>
      <family val="2"/>
      <scheme val="minor"/>
    </font>
    <font>
      <sz val="8"/>
      <name val="Calibri"/>
      <family val="2"/>
      <scheme val="minor"/>
    </font>
    <font>
      <i/>
      <sz val="10"/>
      <color theme="1"/>
      <name val="Calibri"/>
      <family val="2"/>
      <scheme val="minor"/>
    </font>
    <font>
      <b/>
      <sz val="12"/>
      <color theme="1"/>
      <name val="Calibri"/>
      <family val="2"/>
      <scheme val="minor"/>
    </font>
    <font>
      <b/>
      <sz val="11"/>
      <color rgb="FF0070C0"/>
      <name val="Calibri"/>
      <family val="2"/>
      <scheme val="minor"/>
    </font>
    <font>
      <b/>
      <sz val="12"/>
      <color theme="0"/>
      <name val="Calibri"/>
      <family val="2"/>
      <scheme val="minor"/>
    </font>
    <font>
      <b/>
      <sz val="16"/>
      <color theme="0"/>
      <name val="Calibri"/>
      <family val="2"/>
      <scheme val="minor"/>
    </font>
    <font>
      <sz val="9"/>
      <color theme="1"/>
      <name val="Calibri"/>
      <family val="2"/>
      <scheme val="minor"/>
    </font>
    <font>
      <sz val="12"/>
      <color theme="1"/>
      <name val="Calibri"/>
      <family val="2"/>
      <scheme val="minor"/>
    </font>
    <font>
      <i/>
      <sz val="11"/>
      <color theme="1"/>
      <name val="Calibri"/>
      <family val="2"/>
      <scheme val="minor"/>
    </font>
    <font>
      <sz val="11"/>
      <color rgb="FF00B0F0"/>
      <name val="Calibri"/>
      <family val="2"/>
      <scheme val="minor"/>
    </font>
    <font>
      <sz val="11"/>
      <color rgb="FF606F7B"/>
      <name val="Arial"/>
      <family val="2"/>
    </font>
    <font>
      <sz val="11"/>
      <color rgb="FF22222F"/>
      <name val="Arial"/>
      <family val="2"/>
    </font>
    <font>
      <i/>
      <sz val="11"/>
      <color theme="0" tint="-0.499984740745262"/>
      <name val="calibri"/>
      <family val="2"/>
    </font>
    <font>
      <b/>
      <i/>
      <sz val="11"/>
      <color theme="1"/>
      <name val="calibri"/>
      <family val="2"/>
    </font>
    <font>
      <b/>
      <sz val="18"/>
      <color theme="0"/>
      <name val="Calibri"/>
      <family val="2"/>
      <scheme val="minor"/>
    </font>
    <font>
      <b/>
      <vertAlign val="superscript"/>
      <sz val="11"/>
      <color theme="0"/>
      <name val="Calibri"/>
      <family val="2"/>
      <scheme val="minor"/>
    </font>
    <font>
      <sz val="11"/>
      <color rgb="FF3333FF"/>
      <name val="Calibri"/>
      <family val="2"/>
      <scheme val="minor"/>
    </font>
    <font>
      <b/>
      <sz val="14"/>
      <color theme="0"/>
      <name val="Calibri"/>
      <family val="2"/>
      <scheme val="minor"/>
    </font>
    <font>
      <vertAlign val="superscript"/>
      <sz val="11"/>
      <color theme="1"/>
      <name val="Calibri"/>
      <family val="2"/>
      <scheme val="minor"/>
    </font>
    <font>
      <i/>
      <sz val="9"/>
      <color theme="1"/>
      <name val="Calibri"/>
      <family val="2"/>
      <scheme val="minor"/>
    </font>
    <font>
      <b/>
      <i/>
      <sz val="10"/>
      <color theme="1"/>
      <name val="Calibri"/>
      <family val="2"/>
      <scheme val="minor"/>
    </font>
    <font>
      <b/>
      <sz val="14"/>
      <color theme="2"/>
      <name val="Calibri"/>
      <family val="2"/>
      <scheme val="minor"/>
    </font>
  </fonts>
  <fills count="14">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bgColor indexed="64"/>
      </patternFill>
    </fill>
    <fill>
      <patternFill patternType="solid">
        <fgColor rgb="FFF8F8FC"/>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F2F2F2"/>
        <bgColor rgb="FFF2F2F2"/>
      </patternFill>
    </fill>
    <fill>
      <patternFill patternType="solid">
        <fgColor rgb="FFFFFFFF"/>
        <bgColor indexed="64"/>
      </patternFill>
    </fill>
    <fill>
      <patternFill patternType="solid">
        <fgColor theme="0" tint="-4.9989318521683403E-2"/>
        <bgColor indexed="64"/>
      </patternFill>
    </fill>
  </fills>
  <borders count="37">
    <border>
      <left/>
      <right/>
      <top/>
      <bottom/>
      <diagonal/>
    </border>
    <border>
      <left/>
      <right/>
      <top style="dotted">
        <color auto="1"/>
      </top>
      <bottom style="dotted">
        <color auto="1"/>
      </bottom>
      <diagonal/>
    </border>
    <border>
      <left/>
      <right/>
      <top/>
      <bottom style="dotted">
        <color auto="1"/>
      </bottom>
      <diagonal/>
    </border>
    <border>
      <left/>
      <right/>
      <top style="dotted">
        <color auto="1"/>
      </top>
      <bottom style="thick">
        <color auto="1"/>
      </bottom>
      <diagonal/>
    </border>
    <border>
      <left/>
      <right/>
      <top/>
      <bottom style="thick">
        <color theme="1"/>
      </bottom>
      <diagonal/>
    </border>
    <border>
      <left/>
      <right/>
      <top/>
      <bottom style="medium">
        <color theme="0"/>
      </bottom>
      <diagonal/>
    </border>
    <border>
      <left/>
      <right/>
      <top/>
      <bottom style="thick">
        <color auto="1"/>
      </bottom>
      <diagonal/>
    </border>
    <border>
      <left/>
      <right/>
      <top style="thick">
        <color auto="1"/>
      </top>
      <bottom style="dotted">
        <color auto="1"/>
      </bottom>
      <diagonal/>
    </border>
    <border>
      <left/>
      <right/>
      <top style="hair">
        <color rgb="FF002060"/>
      </top>
      <bottom style="hair">
        <color rgb="FF002060"/>
      </bottom>
      <diagonal/>
    </border>
    <border>
      <left/>
      <right/>
      <top/>
      <bottom style="hair">
        <color rgb="FF002060"/>
      </bottom>
      <diagonal/>
    </border>
    <border>
      <left/>
      <right/>
      <top style="thin">
        <color rgb="FF002060"/>
      </top>
      <bottom style="thin">
        <color rgb="FF002060"/>
      </bottom>
      <diagonal/>
    </border>
    <border>
      <left style="thick">
        <color rgb="FF002060"/>
      </left>
      <right style="thick">
        <color rgb="FF002060"/>
      </right>
      <top style="thin">
        <color rgb="FF002060"/>
      </top>
      <bottom style="thick">
        <color rgb="FF00206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right/>
      <top style="thin">
        <color rgb="FF000000"/>
      </top>
      <bottom style="dotted">
        <color rgb="FF000000"/>
      </bottom>
      <diagonal/>
    </border>
    <border>
      <left/>
      <right/>
      <top/>
      <bottom style="thick">
        <color rgb="FF000000"/>
      </bottom>
      <diagonal/>
    </border>
    <border>
      <left/>
      <right/>
      <top/>
      <bottom style="medium">
        <color rgb="FFDBE4F0"/>
      </bottom>
      <diagonal/>
    </border>
    <border>
      <left/>
      <right/>
      <top style="medium">
        <color rgb="FFDBE4F0"/>
      </top>
      <bottom/>
      <diagonal/>
    </border>
    <border>
      <left/>
      <right/>
      <top/>
      <bottom style="thin">
        <color indexed="64"/>
      </bottom>
      <diagonal/>
    </border>
    <border>
      <left/>
      <right/>
      <top style="medium">
        <color auto="1"/>
      </top>
      <bottom style="thick">
        <color auto="1"/>
      </bottom>
      <diagonal/>
    </border>
    <border>
      <left/>
      <right/>
      <top style="dotted">
        <color auto="1"/>
      </top>
      <bottom style="medium">
        <color auto="1"/>
      </bottom>
      <diagonal/>
    </border>
    <border>
      <left/>
      <right/>
      <top style="dotted">
        <color auto="1"/>
      </top>
      <bottom/>
      <diagonal/>
    </border>
    <border>
      <left/>
      <right/>
      <top/>
      <bottom style="medium">
        <color auto="1"/>
      </bottom>
      <diagonal/>
    </border>
    <border>
      <left/>
      <right/>
      <top style="hair">
        <color auto="1"/>
      </top>
      <bottom style="hair">
        <color auto="1"/>
      </bottom>
      <diagonal/>
    </border>
    <border>
      <left/>
      <right/>
      <top style="thick">
        <color rgb="FF002060"/>
      </top>
      <bottom style="thick">
        <color rgb="FF002060"/>
      </bottom>
      <diagonal/>
    </border>
    <border>
      <left style="thin">
        <color indexed="64"/>
      </left>
      <right style="thin">
        <color indexed="64"/>
      </right>
      <top style="thin">
        <color indexed="64"/>
      </top>
      <bottom/>
      <diagonal/>
    </border>
    <border>
      <left/>
      <right style="medium">
        <color auto="1"/>
      </right>
      <top style="medium">
        <color auto="1"/>
      </top>
      <bottom/>
      <diagonal/>
    </border>
    <border>
      <left/>
      <right style="medium">
        <color auto="1"/>
      </right>
      <top/>
      <bottom/>
      <diagonal/>
    </border>
    <border>
      <left style="medium">
        <color auto="1"/>
      </left>
      <right/>
      <top style="medium">
        <color auto="1"/>
      </top>
      <bottom style="dotted">
        <color auto="1"/>
      </bottom>
      <diagonal/>
    </border>
    <border>
      <left/>
      <right/>
      <top style="medium">
        <color auto="1"/>
      </top>
      <bottom style="dotted">
        <color auto="1"/>
      </bottom>
      <diagonal/>
    </border>
    <border>
      <left style="medium">
        <color auto="1"/>
      </left>
      <right/>
      <top style="dotted">
        <color auto="1"/>
      </top>
      <bottom style="dotted">
        <color auto="1"/>
      </bottom>
      <diagonal/>
    </border>
    <border>
      <left/>
      <right/>
      <top style="medium">
        <color auto="1"/>
      </top>
      <bottom/>
      <diagonal/>
    </border>
    <border>
      <left/>
      <right/>
      <top style="thick">
        <color auto="1"/>
      </top>
      <bottom/>
      <diagonal/>
    </border>
    <border>
      <left/>
      <right/>
      <top/>
      <bottom style="dotted">
        <color theme="1" tint="4.9989318521683403E-2"/>
      </bottom>
      <diagonal/>
    </border>
    <border>
      <left/>
      <right/>
      <top/>
      <bottom style="hair">
        <color auto="1"/>
      </bottom>
      <diagonal/>
    </border>
    <border>
      <left/>
      <right/>
      <top style="medium">
        <color auto="1"/>
      </top>
      <bottom style="medium">
        <color auto="1"/>
      </bottom>
      <diagonal/>
    </border>
  </borders>
  <cellStyleXfs count="11">
    <xf numFmtId="0" fontId="0" fillId="0" borderId="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0" fontId="2" fillId="0" borderId="0"/>
    <xf numFmtId="9" fontId="2" fillId="0" borderId="0" applyFont="0" applyFill="0" applyBorder="0" applyAlignment="0" applyProtection="0"/>
  </cellStyleXfs>
  <cellXfs count="395">
    <xf numFmtId="0" fontId="0" fillId="0" borderId="0" xfId="0"/>
    <xf numFmtId="43" fontId="3" fillId="0" borderId="0" xfId="1" applyFont="1" applyBorder="1"/>
    <xf numFmtId="0" fontId="3" fillId="0" borderId="0" xfId="0" applyFont="1"/>
    <xf numFmtId="0" fontId="10" fillId="0" borderId="0" xfId="0" applyFont="1"/>
    <xf numFmtId="43" fontId="0" fillId="0" borderId="0" xfId="1" applyFont="1" applyBorder="1"/>
    <xf numFmtId="10" fontId="0" fillId="0" borderId="0" xfId="0" applyNumberFormat="1"/>
    <xf numFmtId="43" fontId="5" fillId="0" borderId="0" xfId="1" applyFont="1" applyBorder="1"/>
    <xf numFmtId="9" fontId="5" fillId="0" borderId="0" xfId="1" applyNumberFormat="1" applyFont="1" applyBorder="1"/>
    <xf numFmtId="43" fontId="4" fillId="2" borderId="0" xfId="3" applyNumberFormat="1" applyFont="1" applyBorder="1"/>
    <xf numFmtId="43" fontId="4" fillId="3" borderId="0" xfId="4" applyNumberFormat="1" applyFont="1" applyBorder="1"/>
    <xf numFmtId="9" fontId="3" fillId="0" borderId="0" xfId="6" applyFont="1" applyBorder="1"/>
    <xf numFmtId="0" fontId="4" fillId="5" borderId="0" xfId="0" applyFont="1" applyFill="1"/>
    <xf numFmtId="165" fontId="4" fillId="5" borderId="0" xfId="0" applyNumberFormat="1" applyFont="1" applyFill="1" applyAlignment="1">
      <alignment horizontal="center"/>
    </xf>
    <xf numFmtId="0" fontId="4" fillId="5" borderId="0" xfId="0" applyFont="1" applyFill="1" applyAlignment="1">
      <alignment horizontal="center"/>
    </xf>
    <xf numFmtId="43" fontId="0" fillId="0" borderId="0" xfId="1" applyFont="1" applyBorder="1" applyAlignment="1">
      <alignment horizontal="center"/>
    </xf>
    <xf numFmtId="43" fontId="3" fillId="0" borderId="0" xfId="1" applyFont="1" applyBorder="1" applyAlignment="1">
      <alignment horizontal="center"/>
    </xf>
    <xf numFmtId="10" fontId="3" fillId="0" borderId="0" xfId="0" applyNumberFormat="1" applyFont="1"/>
    <xf numFmtId="165" fontId="4" fillId="5" borderId="0" xfId="1" applyNumberFormat="1" applyFont="1" applyFill="1" applyBorder="1"/>
    <xf numFmtId="165" fontId="11" fillId="0" borderId="0" xfId="1" applyNumberFormat="1" applyFont="1" applyFill="1" applyBorder="1"/>
    <xf numFmtId="0" fontId="9" fillId="0" borderId="0" xfId="0" applyFont="1"/>
    <xf numFmtId="0" fontId="0" fillId="0" borderId="0" xfId="0" applyAlignment="1">
      <alignment horizontal="left"/>
    </xf>
    <xf numFmtId="0" fontId="8" fillId="0" borderId="0" xfId="2" applyFont="1" applyBorder="1" applyAlignment="1" applyProtection="1">
      <alignment horizontal="left"/>
    </xf>
    <xf numFmtId="0" fontId="8" fillId="0" borderId="0" xfId="2" applyFont="1" applyBorder="1" applyAlignment="1" applyProtection="1"/>
    <xf numFmtId="0" fontId="11" fillId="0" borderId="0" xfId="0" applyFont="1"/>
    <xf numFmtId="164" fontId="0" fillId="0" borderId="0" xfId="1" applyNumberFormat="1" applyFont="1" applyBorder="1"/>
    <xf numFmtId="0" fontId="7" fillId="6" borderId="0" xfId="0" applyFont="1" applyFill="1"/>
    <xf numFmtId="17" fontId="7" fillId="6" borderId="0" xfId="0" applyNumberFormat="1" applyFont="1" applyFill="1"/>
    <xf numFmtId="0" fontId="14" fillId="0" borderId="0" xfId="0" applyFont="1"/>
    <xf numFmtId="0" fontId="15" fillId="0" borderId="0" xfId="0" applyFont="1"/>
    <xf numFmtId="10" fontId="15" fillId="0" borderId="0" xfId="6" applyNumberFormat="1" applyFont="1"/>
    <xf numFmtId="0" fontId="11" fillId="0" borderId="1" xfId="0" applyFont="1" applyBorder="1"/>
    <xf numFmtId="166" fontId="11" fillId="0" borderId="1" xfId="0" applyNumberFormat="1" applyFont="1" applyBorder="1"/>
    <xf numFmtId="0" fontId="16" fillId="0" borderId="1" xfId="0" applyFont="1" applyBorder="1"/>
    <xf numFmtId="10" fontId="16" fillId="0" borderId="1" xfId="6" applyNumberFormat="1" applyFont="1" applyBorder="1"/>
    <xf numFmtId="0" fontId="17" fillId="0" borderId="0" xfId="0" applyFont="1"/>
    <xf numFmtId="10" fontId="11" fillId="0" borderId="0" xfId="6" applyNumberFormat="1" applyFont="1"/>
    <xf numFmtId="0" fontId="18" fillId="0" borderId="1" xfId="0" applyFont="1" applyBorder="1"/>
    <xf numFmtId="10" fontId="18" fillId="0" borderId="1" xfId="6" applyNumberFormat="1" applyFont="1" applyBorder="1"/>
    <xf numFmtId="167" fontId="16" fillId="0" borderId="1" xfId="6" applyNumberFormat="1" applyFont="1" applyBorder="1"/>
    <xf numFmtId="17" fontId="3" fillId="0" borderId="2" xfId="0" applyNumberFormat="1" applyFont="1" applyBorder="1"/>
    <xf numFmtId="0" fontId="0" fillId="0" borderId="2" xfId="0" applyBorder="1"/>
    <xf numFmtId="0" fontId="3" fillId="7" borderId="3" xfId="0" applyFont="1" applyFill="1" applyBorder="1"/>
    <xf numFmtId="10" fontId="3" fillId="7" borderId="3" xfId="6" applyNumberFormat="1" applyFont="1" applyFill="1" applyBorder="1"/>
    <xf numFmtId="0" fontId="3" fillId="7" borderId="0" xfId="0" applyFont="1" applyFill="1"/>
    <xf numFmtId="10" fontId="3" fillId="7" borderId="0" xfId="6" applyNumberFormat="1" applyFont="1" applyFill="1" applyBorder="1"/>
    <xf numFmtId="10" fontId="21" fillId="7" borderId="3" xfId="6" applyNumberFormat="1" applyFont="1" applyFill="1" applyBorder="1" applyAlignment="1">
      <alignment horizontal="center"/>
    </xf>
    <xf numFmtId="3" fontId="22" fillId="8" borderId="0" xfId="0" applyNumberFormat="1" applyFont="1" applyFill="1" applyAlignment="1">
      <alignment horizontal="right" vertical="center" wrapText="1"/>
    </xf>
    <xf numFmtId="0" fontId="0" fillId="0" borderId="1" xfId="0" applyBorder="1"/>
    <xf numFmtId="0" fontId="4" fillId="6" borderId="0" xfId="0" applyFont="1" applyFill="1"/>
    <xf numFmtId="0" fontId="4" fillId="6" borderId="6" xfId="0" applyFont="1" applyFill="1" applyBorder="1" applyAlignment="1">
      <alignment wrapText="1"/>
    </xf>
    <xf numFmtId="0" fontId="4" fillId="6" borderId="6" xfId="0" applyFont="1" applyFill="1" applyBorder="1"/>
    <xf numFmtId="0" fontId="3" fillId="9" borderId="7" xfId="0" applyFont="1" applyFill="1" applyBorder="1"/>
    <xf numFmtId="43" fontId="3" fillId="9" borderId="7" xfId="0" applyNumberFormat="1" applyFont="1" applyFill="1" applyBorder="1"/>
    <xf numFmtId="0" fontId="23" fillId="0" borderId="0" xfId="0" applyFont="1"/>
    <xf numFmtId="17" fontId="24" fillId="12" borderId="17" xfId="0" applyNumberFormat="1" applyFont="1" applyFill="1" applyBorder="1" applyAlignment="1">
      <alignment horizontal="right" vertical="center" wrapText="1"/>
    </xf>
    <xf numFmtId="0" fontId="22" fillId="8" borderId="0" xfId="0" applyFont="1" applyFill="1" applyAlignment="1">
      <alignment horizontal="left" vertical="center" indent="2"/>
    </xf>
    <xf numFmtId="0" fontId="22" fillId="8" borderId="0" xfId="0" applyFont="1" applyFill="1" applyAlignment="1">
      <alignment horizontal="right" vertical="center" wrapText="1"/>
    </xf>
    <xf numFmtId="0" fontId="22" fillId="12" borderId="0" xfId="0" applyFont="1" applyFill="1" applyAlignment="1">
      <alignment horizontal="left" vertical="center" indent="2"/>
    </xf>
    <xf numFmtId="3" fontId="22" fillId="12" borderId="0" xfId="0" applyNumberFormat="1" applyFont="1" applyFill="1" applyAlignment="1">
      <alignment horizontal="right" vertical="center" wrapText="1"/>
    </xf>
    <xf numFmtId="0" fontId="25" fillId="8" borderId="18" xfId="0" applyFont="1" applyFill="1" applyBorder="1" applyAlignment="1">
      <alignment horizontal="left" vertical="center" indent="2"/>
    </xf>
    <xf numFmtId="3" fontId="25" fillId="8" borderId="18" xfId="0" applyNumberFormat="1" applyFont="1" applyFill="1" applyBorder="1" applyAlignment="1">
      <alignment horizontal="right" vertical="center" wrapText="1"/>
    </xf>
    <xf numFmtId="0" fontId="22" fillId="8" borderId="0" xfId="0" applyFont="1" applyFill="1" applyAlignment="1">
      <alignment horizontal="left" vertical="center"/>
    </xf>
    <xf numFmtId="0" fontId="25" fillId="12" borderId="18" xfId="0" applyFont="1" applyFill="1" applyBorder="1" applyAlignment="1">
      <alignment horizontal="left" vertical="center" indent="2"/>
    </xf>
    <xf numFmtId="3" fontId="25" fillId="12" borderId="18" xfId="0" applyNumberFormat="1" applyFont="1" applyFill="1" applyBorder="1" applyAlignment="1">
      <alignment horizontal="right" vertical="center" wrapText="1"/>
    </xf>
    <xf numFmtId="0" fontId="22" fillId="12" borderId="0" xfId="0" applyFont="1" applyFill="1" applyAlignment="1">
      <alignment horizontal="left" vertical="center"/>
    </xf>
    <xf numFmtId="0" fontId="22" fillId="12" borderId="0" xfId="0" applyFont="1" applyFill="1" applyAlignment="1">
      <alignment horizontal="right" vertical="center" wrapText="1"/>
    </xf>
    <xf numFmtId="0" fontId="25" fillId="12" borderId="18" xfId="0" applyFont="1" applyFill="1" applyBorder="1" applyAlignment="1">
      <alignment horizontal="left" vertical="center"/>
    </xf>
    <xf numFmtId="9" fontId="0" fillId="0" borderId="0" xfId="6" applyFont="1"/>
    <xf numFmtId="10" fontId="0" fillId="0" borderId="0" xfId="6" applyNumberFormat="1" applyFont="1"/>
    <xf numFmtId="10" fontId="0" fillId="0" borderId="1" xfId="6" applyNumberFormat="1" applyFont="1" applyBorder="1"/>
    <xf numFmtId="10" fontId="27" fillId="0" borderId="1" xfId="0" applyNumberFormat="1" applyFont="1" applyBorder="1"/>
    <xf numFmtId="44" fontId="0" fillId="0" borderId="0" xfId="0" applyNumberFormat="1"/>
    <xf numFmtId="0" fontId="0" fillId="0" borderId="0" xfId="0" applyAlignment="1">
      <alignment horizontal="center"/>
    </xf>
    <xf numFmtId="170" fontId="0" fillId="0" borderId="0" xfId="6" applyNumberFormat="1" applyFont="1"/>
    <xf numFmtId="0" fontId="29" fillId="9" borderId="2" xfId="0" applyFont="1" applyFill="1" applyBorder="1"/>
    <xf numFmtId="0" fontId="0" fillId="9" borderId="2" xfId="0" applyFill="1" applyBorder="1"/>
    <xf numFmtId="2" fontId="0" fillId="0" borderId="1" xfId="0" applyNumberFormat="1" applyBorder="1"/>
    <xf numFmtId="9" fontId="0" fillId="0" borderId="1" xfId="6" applyFont="1" applyBorder="1"/>
    <xf numFmtId="44" fontId="0" fillId="0" borderId="1" xfId="0" applyNumberFormat="1" applyBorder="1"/>
    <xf numFmtId="0" fontId="27" fillId="0" borderId="1" xfId="0" applyFont="1" applyBorder="1"/>
    <xf numFmtId="44" fontId="27" fillId="0" borderId="1" xfId="0" applyNumberFormat="1" applyFont="1" applyBorder="1"/>
    <xf numFmtId="2" fontId="27" fillId="0" borderId="1" xfId="0" applyNumberFormat="1" applyFont="1" applyBorder="1"/>
    <xf numFmtId="0" fontId="4" fillId="6" borderId="0" xfId="0" applyFont="1" applyFill="1" applyAlignment="1">
      <alignment horizontal="center"/>
    </xf>
    <xf numFmtId="0" fontId="4" fillId="6" borderId="0" xfId="0" applyFont="1" applyFill="1" applyAlignment="1">
      <alignment vertical="center"/>
    </xf>
    <xf numFmtId="0" fontId="4" fillId="6" borderId="0" xfId="0" applyFont="1" applyFill="1" applyAlignment="1">
      <alignment wrapText="1"/>
    </xf>
    <xf numFmtId="171" fontId="4" fillId="6" borderId="0" xfId="0" applyNumberFormat="1" applyFont="1" applyFill="1" applyAlignment="1">
      <alignment horizontal="right"/>
    </xf>
    <xf numFmtId="0" fontId="4" fillId="6" borderId="0" xfId="0" applyFont="1" applyFill="1" applyAlignment="1">
      <alignment horizontal="right"/>
    </xf>
    <xf numFmtId="0" fontId="3" fillId="0" borderId="20" xfId="0" applyFont="1" applyBorder="1"/>
    <xf numFmtId="44" fontId="3" fillId="0" borderId="20" xfId="0" applyNumberFormat="1" applyFont="1" applyBorder="1"/>
    <xf numFmtId="4" fontId="0" fillId="0" borderId="0" xfId="0" applyNumberFormat="1"/>
    <xf numFmtId="0" fontId="0" fillId="0" borderId="0" xfId="0" applyAlignment="1">
      <alignment horizontal="right" vertical="center" wrapText="1"/>
    </xf>
    <xf numFmtId="0" fontId="3" fillId="0" borderId="0" xfId="0" applyFont="1" applyAlignment="1">
      <alignment horizontal="right" vertical="center" wrapText="1"/>
    </xf>
    <xf numFmtId="0" fontId="3" fillId="0" borderId="0" xfId="0" applyFont="1" applyAlignment="1">
      <alignment vertical="center" wrapText="1"/>
    </xf>
    <xf numFmtId="4" fontId="0" fillId="0" borderId="0" xfId="0" applyNumberFormat="1" applyAlignment="1">
      <alignment horizontal="right" vertical="center" wrapText="1"/>
    </xf>
    <xf numFmtId="0" fontId="0" fillId="0" borderId="1" xfId="0" applyBorder="1" applyAlignment="1">
      <alignment vertical="center"/>
    </xf>
    <xf numFmtId="10" fontId="0" fillId="0" borderId="1" xfId="0" applyNumberFormat="1" applyBorder="1" applyAlignment="1">
      <alignment horizontal="right" vertical="center" wrapText="1"/>
    </xf>
    <xf numFmtId="10" fontId="31" fillId="0" borderId="1" xfId="0" applyNumberFormat="1" applyFont="1" applyBorder="1" applyAlignment="1">
      <alignment horizontal="right" vertical="center" wrapText="1"/>
    </xf>
    <xf numFmtId="0" fontId="0" fillId="0" borderId="0" xfId="0" applyAlignment="1">
      <alignment vertical="center"/>
    </xf>
    <xf numFmtId="10" fontId="0" fillId="0" borderId="0" xfId="0" applyNumberFormat="1" applyAlignment="1">
      <alignment horizontal="right" vertical="center" wrapText="1"/>
    </xf>
    <xf numFmtId="10" fontId="31" fillId="0" borderId="0" xfId="0" applyNumberFormat="1" applyFont="1" applyAlignment="1">
      <alignment horizontal="right" vertical="center" wrapText="1"/>
    </xf>
    <xf numFmtId="10" fontId="27" fillId="0" borderId="1" xfId="6" applyNumberFormat="1" applyFont="1" applyBorder="1"/>
    <xf numFmtId="172" fontId="0" fillId="0" borderId="1" xfId="0" applyNumberFormat="1" applyBorder="1"/>
    <xf numFmtId="172" fontId="27" fillId="0" borderId="1" xfId="0" applyNumberFormat="1" applyFont="1" applyBorder="1"/>
    <xf numFmtId="0" fontId="3" fillId="0" borderId="1" xfId="0" applyFont="1" applyBorder="1"/>
    <xf numFmtId="44" fontId="3" fillId="0" borderId="1" xfId="0" applyNumberFormat="1" applyFont="1" applyBorder="1"/>
    <xf numFmtId="4" fontId="0" fillId="0" borderId="0" xfId="0" applyNumberFormat="1" applyAlignment="1">
      <alignment vertical="center" wrapText="1"/>
    </xf>
    <xf numFmtId="4" fontId="3" fillId="0" borderId="0" xfId="0" applyNumberFormat="1" applyFont="1" applyAlignment="1">
      <alignment vertical="center" wrapText="1"/>
    </xf>
    <xf numFmtId="10" fontId="0" fillId="0" borderId="0" xfId="0" applyNumberFormat="1" applyAlignment="1">
      <alignment vertical="center" wrapText="1"/>
    </xf>
    <xf numFmtId="44" fontId="31" fillId="0" borderId="1" xfId="0" applyNumberFormat="1" applyFont="1" applyBorder="1"/>
    <xf numFmtId="0" fontId="0" fillId="0" borderId="21" xfId="0" applyBorder="1"/>
    <xf numFmtId="44" fontId="0" fillId="0" borderId="21" xfId="0" applyNumberFormat="1" applyBorder="1"/>
    <xf numFmtId="0" fontId="0" fillId="0" borderId="22" xfId="0" applyBorder="1"/>
    <xf numFmtId="44" fontId="0" fillId="0" borderId="22" xfId="0" applyNumberFormat="1" applyBorder="1"/>
    <xf numFmtId="0" fontId="0" fillId="0" borderId="23" xfId="0" applyBorder="1"/>
    <xf numFmtId="44" fontId="0" fillId="0" borderId="23" xfId="0" applyNumberFormat="1" applyBorder="1"/>
    <xf numFmtId="0" fontId="30" fillId="0" borderId="2" xfId="0" applyFont="1" applyBorder="1"/>
    <xf numFmtId="44" fontId="30" fillId="0" borderId="2" xfId="0" applyNumberFormat="1" applyFont="1" applyBorder="1"/>
    <xf numFmtId="0" fontId="30" fillId="0" borderId="20" xfId="0" applyFont="1" applyBorder="1"/>
    <xf numFmtId="44" fontId="30" fillId="0" borderId="20" xfId="0" applyNumberFormat="1" applyFont="1" applyBorder="1"/>
    <xf numFmtId="0" fontId="32" fillId="6" borderId="0" xfId="0" applyFont="1" applyFill="1"/>
    <xf numFmtId="171" fontId="32" fillId="6" borderId="0" xfId="0" applyNumberFormat="1" applyFont="1" applyFill="1" applyAlignment="1">
      <alignment horizontal="right"/>
    </xf>
    <xf numFmtId="0" fontId="32" fillId="6" borderId="0" xfId="0" applyFont="1" applyFill="1" applyAlignment="1">
      <alignment horizontal="right"/>
    </xf>
    <xf numFmtId="0" fontId="0" fillId="0" borderId="1" xfId="0" applyBorder="1" applyAlignment="1">
      <alignment horizontal="left" indent="1"/>
    </xf>
    <xf numFmtId="0" fontId="3" fillId="0" borderId="1" xfId="0" applyFont="1" applyBorder="1" applyAlignment="1">
      <alignment horizontal="left" indent="1"/>
    </xf>
    <xf numFmtId="0" fontId="3" fillId="0" borderId="0" xfId="0" applyFont="1" applyAlignment="1">
      <alignment horizontal="center" vertical="center" wrapText="1"/>
    </xf>
    <xf numFmtId="10" fontId="3" fillId="0" borderId="0" xfId="0" applyNumberFormat="1" applyFont="1" applyAlignment="1">
      <alignment horizontal="right" vertical="center" wrapText="1"/>
    </xf>
    <xf numFmtId="0" fontId="0" fillId="9" borderId="0" xfId="0" applyFill="1"/>
    <xf numFmtId="0" fontId="3" fillId="0" borderId="0" xfId="0" applyFont="1" applyAlignment="1">
      <alignment vertical="center"/>
    </xf>
    <xf numFmtId="0" fontId="3" fillId="0" borderId="0" xfId="0" applyFont="1" applyAlignment="1">
      <alignment horizontal="left" vertical="center"/>
    </xf>
    <xf numFmtId="10" fontId="0" fillId="9" borderId="26" xfId="6" applyNumberFormat="1" applyFont="1" applyFill="1" applyBorder="1"/>
    <xf numFmtId="0" fontId="3" fillId="0" borderId="1" xfId="0" applyFont="1" applyBorder="1" applyAlignment="1">
      <alignment vertical="center" wrapText="1"/>
    </xf>
    <xf numFmtId="10" fontId="3" fillId="0" borderId="1" xfId="0" applyNumberFormat="1" applyFont="1" applyBorder="1" applyAlignment="1">
      <alignment horizontal="right" vertical="center" wrapText="1"/>
    </xf>
    <xf numFmtId="1" fontId="0" fillId="9" borderId="26" xfId="6" applyNumberFormat="1" applyFont="1" applyFill="1" applyBorder="1"/>
    <xf numFmtId="0" fontId="3" fillId="0" borderId="1" xfId="0" applyFont="1" applyBorder="1" applyAlignment="1">
      <alignment horizontal="right" vertical="center" wrapText="1"/>
    </xf>
    <xf numFmtId="0" fontId="29" fillId="9" borderId="1" xfId="0" applyFont="1" applyFill="1" applyBorder="1"/>
    <xf numFmtId="0" fontId="3" fillId="0" borderId="0" xfId="0" applyFont="1" applyAlignment="1">
      <alignment horizontal="center"/>
    </xf>
    <xf numFmtId="10" fontId="3" fillId="0" borderId="23" xfId="0" applyNumberFormat="1" applyFont="1" applyBorder="1" applyAlignment="1">
      <alignment horizontal="right" vertical="center" wrapText="1"/>
    </xf>
    <xf numFmtId="9" fontId="3" fillId="0" borderId="23" xfId="0" applyNumberFormat="1" applyFont="1" applyBorder="1"/>
    <xf numFmtId="10" fontId="3" fillId="0" borderId="23" xfId="0" applyNumberFormat="1" applyFont="1" applyBorder="1"/>
    <xf numFmtId="10" fontId="3" fillId="0" borderId="27" xfId="0" applyNumberFormat="1" applyFont="1" applyBorder="1" applyAlignment="1">
      <alignment vertical="center"/>
    </xf>
    <xf numFmtId="44" fontId="0" fillId="0" borderId="29" xfId="8" applyFont="1" applyBorder="1" applyAlignment="1">
      <alignment horizontal="right" vertical="center"/>
    </xf>
    <xf numFmtId="44" fontId="0" fillId="0" borderId="30" xfId="8" applyFont="1" applyBorder="1" applyAlignment="1">
      <alignment horizontal="right" vertical="center"/>
    </xf>
    <xf numFmtId="10" fontId="3" fillId="0" borderId="28" xfId="0" applyNumberFormat="1" applyFont="1" applyBorder="1" applyAlignment="1">
      <alignment vertical="center"/>
    </xf>
    <xf numFmtId="44" fontId="0" fillId="0" borderId="31" xfId="8" applyFont="1" applyBorder="1" applyAlignment="1">
      <alignment horizontal="right" vertical="center"/>
    </xf>
    <xf numFmtId="44" fontId="0" fillId="0" borderId="1" xfId="8" applyFont="1" applyBorder="1" applyAlignment="1">
      <alignment horizontal="right" vertical="center"/>
    </xf>
    <xf numFmtId="10" fontId="3" fillId="0" borderId="28" xfId="0" applyNumberFormat="1" applyFont="1" applyBorder="1"/>
    <xf numFmtId="44" fontId="5" fillId="0" borderId="0" xfId="8" applyFont="1" applyAlignment="1">
      <alignment horizontal="right" vertical="center"/>
    </xf>
    <xf numFmtId="0" fontId="3" fillId="0" borderId="1" xfId="0" applyFont="1" applyBorder="1" applyAlignment="1">
      <alignment vertical="center"/>
    </xf>
    <xf numFmtId="4" fontId="0" fillId="0" borderId="1" xfId="0" applyNumberFormat="1" applyBorder="1"/>
    <xf numFmtId="0" fontId="4" fillId="6" borderId="19" xfId="0" applyFont="1" applyFill="1" applyBorder="1" applyAlignment="1">
      <alignment wrapText="1"/>
    </xf>
    <xf numFmtId="44" fontId="0" fillId="0" borderId="2" xfId="0" applyNumberFormat="1" applyBorder="1"/>
    <xf numFmtId="0" fontId="0" fillId="0" borderId="20" xfId="0" applyBorder="1"/>
    <xf numFmtId="0" fontId="3" fillId="0" borderId="30" xfId="0" applyFont="1" applyBorder="1"/>
    <xf numFmtId="44" fontId="0" fillId="0" borderId="22" xfId="8" applyFont="1" applyBorder="1"/>
    <xf numFmtId="44" fontId="3" fillId="0" borderId="30" xfId="0" applyNumberFormat="1" applyFont="1" applyBorder="1"/>
    <xf numFmtId="0" fontId="0" fillId="0" borderId="22" xfId="0" applyBorder="1" applyAlignment="1">
      <alignment horizontal="left" indent="1"/>
    </xf>
    <xf numFmtId="0" fontId="3" fillId="0" borderId="23" xfId="0" applyFont="1" applyBorder="1"/>
    <xf numFmtId="0" fontId="3" fillId="0" borderId="32" xfId="0" applyFont="1" applyBorder="1"/>
    <xf numFmtId="44" fontId="3" fillId="0" borderId="32" xfId="8" applyFont="1" applyBorder="1"/>
    <xf numFmtId="0" fontId="3" fillId="0" borderId="28" xfId="0" applyFont="1" applyBorder="1"/>
    <xf numFmtId="2" fontId="0" fillId="0" borderId="30" xfId="0" applyNumberFormat="1" applyBorder="1"/>
    <xf numFmtId="0" fontId="3" fillId="0" borderId="23" xfId="0" applyFont="1" applyBorder="1" applyAlignment="1">
      <alignment horizontal="center"/>
    </xf>
    <xf numFmtId="43" fontId="3" fillId="0" borderId="0" xfId="0" applyNumberFormat="1" applyFont="1"/>
    <xf numFmtId="0" fontId="34" fillId="9" borderId="1" xfId="0" applyFont="1" applyFill="1" applyBorder="1"/>
    <xf numFmtId="0" fontId="0" fillId="9" borderId="1" xfId="0" applyFill="1" applyBorder="1"/>
    <xf numFmtId="2" fontId="0" fillId="0" borderId="0" xfId="0" applyNumberFormat="1"/>
    <xf numFmtId="0" fontId="0" fillId="0" borderId="7" xfId="0" applyBorder="1"/>
    <xf numFmtId="0" fontId="0" fillId="0" borderId="0" xfId="0" applyAlignment="1">
      <alignment wrapText="1"/>
    </xf>
    <xf numFmtId="0" fontId="35" fillId="0" borderId="0" xfId="0" applyFont="1" applyAlignment="1">
      <alignment wrapText="1"/>
    </xf>
    <xf numFmtId="0" fontId="36" fillId="0" borderId="1" xfId="0" applyFont="1" applyBorder="1" applyAlignment="1">
      <alignment wrapText="1"/>
    </xf>
    <xf numFmtId="0" fontId="36" fillId="0" borderId="0" xfId="0" applyFont="1" applyAlignment="1">
      <alignment wrapText="1"/>
    </xf>
    <xf numFmtId="14" fontId="0" fillId="0" borderId="0" xfId="0" applyNumberFormat="1"/>
    <xf numFmtId="10" fontId="0" fillId="0" borderId="0" xfId="6" applyNumberFormat="1" applyFont="1" applyBorder="1"/>
    <xf numFmtId="44" fontId="3" fillId="0" borderId="1" xfId="0" applyNumberFormat="1" applyFont="1" applyBorder="1" applyAlignment="1">
      <alignment horizontal="center"/>
    </xf>
    <xf numFmtId="44" fontId="10" fillId="0" borderId="23" xfId="0" applyNumberFormat="1" applyFont="1" applyBorder="1" applyAlignment="1">
      <alignment horizontal="center"/>
    </xf>
    <xf numFmtId="44" fontId="37" fillId="0" borderId="2" xfId="0" applyNumberFormat="1" applyFont="1" applyBorder="1"/>
    <xf numFmtId="0" fontId="3" fillId="0" borderId="19" xfId="0" applyFont="1" applyBorder="1"/>
    <xf numFmtId="0" fontId="3" fillId="0" borderId="19" xfId="0" applyFont="1" applyBorder="1" applyAlignment="1">
      <alignment horizontal="center"/>
    </xf>
    <xf numFmtId="44" fontId="0" fillId="0" borderId="1" xfId="8" applyFont="1" applyBorder="1"/>
    <xf numFmtId="44" fontId="0" fillId="0" borderId="2" xfId="8" applyFont="1" applyBorder="1"/>
    <xf numFmtId="2" fontId="0" fillId="0" borderId="2" xfId="0" applyNumberFormat="1" applyBorder="1"/>
    <xf numFmtId="2" fontId="0" fillId="0" borderId="2" xfId="0" applyNumberFormat="1" applyBorder="1" applyAlignment="1">
      <alignment horizontal="right"/>
    </xf>
    <xf numFmtId="2" fontId="0" fillId="0" borderId="1" xfId="0" applyNumberFormat="1" applyBorder="1" applyAlignment="1">
      <alignment horizontal="right"/>
    </xf>
    <xf numFmtId="17" fontId="38" fillId="12" borderId="17" xfId="0" applyNumberFormat="1" applyFont="1" applyFill="1" applyBorder="1" applyAlignment="1">
      <alignment horizontal="right" vertical="center" wrapText="1"/>
    </xf>
    <xf numFmtId="0" fontId="39" fillId="8" borderId="18" xfId="0" applyFont="1" applyFill="1" applyBorder="1" applyAlignment="1">
      <alignment horizontal="left" vertical="center" indent="2"/>
    </xf>
    <xf numFmtId="3" fontId="39" fillId="8" borderId="18" xfId="0" applyNumberFormat="1" applyFont="1" applyFill="1" applyBorder="1" applyAlignment="1">
      <alignment horizontal="right" vertical="center" wrapText="1"/>
    </xf>
    <xf numFmtId="0" fontId="39" fillId="8" borderId="18" xfId="0" applyFont="1" applyFill="1" applyBorder="1" applyAlignment="1">
      <alignment horizontal="left" vertical="center"/>
    </xf>
    <xf numFmtId="0" fontId="39" fillId="12" borderId="18" xfId="0" applyFont="1" applyFill="1" applyBorder="1" applyAlignment="1">
      <alignment horizontal="left" vertical="center" indent="2"/>
    </xf>
    <xf numFmtId="3" fontId="39" fillId="12" borderId="18" xfId="0" applyNumberFormat="1" applyFont="1" applyFill="1" applyBorder="1" applyAlignment="1">
      <alignment horizontal="right" vertical="center" wrapText="1"/>
    </xf>
    <xf numFmtId="0" fontId="39" fillId="12" borderId="18" xfId="0" applyFont="1" applyFill="1" applyBorder="1" applyAlignment="1">
      <alignment horizontal="right" vertical="center" wrapText="1"/>
    </xf>
    <xf numFmtId="0" fontId="24" fillId="8" borderId="0" xfId="0" applyFont="1" applyFill="1" applyAlignment="1">
      <alignment horizontal="left" vertical="center" indent="2"/>
    </xf>
    <xf numFmtId="3" fontId="24" fillId="8" borderId="0" xfId="0" applyNumberFormat="1" applyFont="1" applyFill="1" applyAlignment="1">
      <alignment horizontal="right" vertical="center" wrapText="1"/>
    </xf>
    <xf numFmtId="0" fontId="24" fillId="12" borderId="0" xfId="0" applyFont="1" applyFill="1" applyAlignment="1">
      <alignment horizontal="left" vertical="center" indent="2"/>
    </xf>
    <xf numFmtId="9" fontId="24" fillId="12" borderId="0" xfId="0" applyNumberFormat="1" applyFont="1" applyFill="1" applyAlignment="1">
      <alignment horizontal="right" vertical="center" wrapText="1"/>
    </xf>
    <xf numFmtId="3" fontId="0" fillId="0" borderId="0" xfId="0" applyNumberFormat="1"/>
    <xf numFmtId="0" fontId="0" fillId="0" borderId="30" xfId="0" applyBorder="1"/>
    <xf numFmtId="0" fontId="3" fillId="0" borderId="3" xfId="0" applyFont="1" applyBorder="1"/>
    <xf numFmtId="166" fontId="0" fillId="0" borderId="30" xfId="0" applyNumberFormat="1" applyBorder="1"/>
    <xf numFmtId="166" fontId="0" fillId="0" borderId="1" xfId="0" applyNumberFormat="1" applyBorder="1"/>
    <xf numFmtId="166" fontId="3" fillId="0" borderId="3" xfId="0" applyNumberFormat="1" applyFont="1" applyBorder="1"/>
    <xf numFmtId="166" fontId="0" fillId="0" borderId="0" xfId="0" applyNumberFormat="1"/>
    <xf numFmtId="166" fontId="0" fillId="0" borderId="23" xfId="0" applyNumberFormat="1" applyBorder="1"/>
    <xf numFmtId="166" fontId="3" fillId="0" borderId="0" xfId="0" applyNumberFormat="1" applyFont="1"/>
    <xf numFmtId="166" fontId="0" fillId="0" borderId="20" xfId="0" applyNumberFormat="1" applyBorder="1"/>
    <xf numFmtId="0" fontId="2" fillId="0" borderId="0" xfId="9"/>
    <xf numFmtId="0" fontId="19" fillId="6" borderId="0" xfId="9" applyFont="1" applyFill="1"/>
    <xf numFmtId="17" fontId="19" fillId="6" borderId="0" xfId="9" applyNumberFormat="1" applyFont="1" applyFill="1"/>
    <xf numFmtId="0" fontId="19" fillId="0" borderId="0" xfId="9" applyFont="1"/>
    <xf numFmtId="17" fontId="19" fillId="0" borderId="0" xfId="9" applyNumberFormat="1" applyFont="1"/>
    <xf numFmtId="179" fontId="2" fillId="0" borderId="0" xfId="9" applyNumberFormat="1"/>
    <xf numFmtId="180" fontId="2" fillId="0" borderId="0" xfId="9" applyNumberFormat="1"/>
    <xf numFmtId="0" fontId="1" fillId="0" borderId="0" xfId="9" applyFont="1"/>
    <xf numFmtId="0" fontId="20" fillId="0" borderId="20" xfId="9" applyFont="1" applyBorder="1"/>
    <xf numFmtId="179" fontId="20" fillId="0" borderId="20" xfId="9" applyNumberFormat="1" applyFont="1" applyBorder="1"/>
    <xf numFmtId="17" fontId="4" fillId="6" borderId="0" xfId="0" applyNumberFormat="1" applyFont="1" applyFill="1"/>
    <xf numFmtId="0" fontId="2" fillId="0" borderId="1" xfId="9" applyBorder="1"/>
    <xf numFmtId="179" fontId="2" fillId="0" borderId="1" xfId="9" applyNumberFormat="1" applyBorder="1"/>
    <xf numFmtId="0" fontId="2" fillId="0" borderId="21" xfId="9" applyBorder="1"/>
    <xf numFmtId="179" fontId="2" fillId="0" borderId="21" xfId="9" applyNumberFormat="1" applyBorder="1"/>
    <xf numFmtId="0" fontId="20" fillId="0" borderId="21" xfId="9" applyFont="1" applyBorder="1"/>
    <xf numFmtId="179" fontId="20" fillId="0" borderId="21" xfId="9" applyNumberFormat="1" applyFont="1" applyBorder="1"/>
    <xf numFmtId="0" fontId="41" fillId="0" borderId="36" xfId="9" applyFont="1" applyBorder="1"/>
    <xf numFmtId="180" fontId="2" fillId="0" borderId="1" xfId="9" applyNumberFormat="1" applyBorder="1"/>
    <xf numFmtId="0" fontId="2" fillId="0" borderId="22" xfId="9" applyBorder="1"/>
    <xf numFmtId="179" fontId="2" fillId="0" borderId="22" xfId="9" applyNumberFormat="1" applyBorder="1"/>
    <xf numFmtId="0" fontId="2" fillId="0" borderId="20" xfId="9" applyBorder="1"/>
    <xf numFmtId="180" fontId="2" fillId="0" borderId="20" xfId="9" applyNumberFormat="1" applyBorder="1"/>
    <xf numFmtId="179" fontId="2" fillId="0" borderId="20" xfId="9" applyNumberFormat="1" applyBorder="1"/>
    <xf numFmtId="10" fontId="0" fillId="0" borderId="20" xfId="10" applyNumberFormat="1" applyFont="1" applyBorder="1"/>
    <xf numFmtId="0" fontId="2" fillId="0" borderId="7" xfId="9" applyBorder="1"/>
    <xf numFmtId="0" fontId="40" fillId="0" borderId="21" xfId="9" applyFont="1" applyBorder="1"/>
    <xf numFmtId="10" fontId="40" fillId="0" borderId="21" xfId="10" applyNumberFormat="1" applyFont="1" applyBorder="1"/>
    <xf numFmtId="180" fontId="2" fillId="0" borderId="7" xfId="9" applyNumberFormat="1" applyBorder="1"/>
    <xf numFmtId="180" fontId="2" fillId="0" borderId="21" xfId="9" applyNumberFormat="1" applyBorder="1"/>
    <xf numFmtId="0" fontId="32" fillId="6" borderId="6" xfId="0" applyFont="1" applyFill="1" applyBorder="1" applyAlignment="1">
      <alignment horizontal="center"/>
    </xf>
    <xf numFmtId="0" fontId="19" fillId="6" borderId="0" xfId="9" applyFont="1" applyFill="1" applyAlignment="1">
      <alignment horizontal="center"/>
    </xf>
    <xf numFmtId="2" fontId="3" fillId="0" borderId="20" xfId="0" applyNumberFormat="1" applyFont="1" applyBorder="1" applyAlignment="1">
      <alignment horizontal="center"/>
    </xf>
    <xf numFmtId="0" fontId="3" fillId="0" borderId="20" xfId="0" applyFont="1" applyBorder="1" applyAlignment="1">
      <alignment horizontal="center"/>
    </xf>
    <xf numFmtId="0" fontId="13" fillId="6" borderId="0" xfId="0" applyFont="1" applyFill="1" applyAlignment="1">
      <alignment horizontal="center"/>
    </xf>
    <xf numFmtId="0" fontId="3" fillId="0" borderId="19" xfId="0" applyFont="1" applyBorder="1" applyAlignment="1">
      <alignment horizontal="center"/>
    </xf>
    <xf numFmtId="0" fontId="12" fillId="6" borderId="0" xfId="0" applyFont="1" applyFill="1" applyAlignment="1">
      <alignment horizontal="center"/>
    </xf>
    <xf numFmtId="0" fontId="33" fillId="6" borderId="23" xfId="0" applyFont="1" applyFill="1" applyBorder="1" applyAlignment="1">
      <alignment horizontal="center"/>
    </xf>
    <xf numFmtId="0" fontId="4" fillId="6" borderId="5" xfId="0" applyFont="1" applyFill="1" applyBorder="1" applyAlignment="1">
      <alignment horizontal="center"/>
    </xf>
    <xf numFmtId="0" fontId="33" fillId="6" borderId="0" xfId="0" applyFont="1" applyFill="1" applyAlignment="1">
      <alignment horizontal="center"/>
    </xf>
    <xf numFmtId="43" fontId="6" fillId="0" borderId="0" xfId="2" applyNumberFormat="1" applyBorder="1" applyAlignment="1" applyProtection="1">
      <alignment horizontal="center"/>
    </xf>
    <xf numFmtId="43" fontId="4" fillId="4" borderId="0" xfId="5" applyNumberFormat="1" applyFont="1" applyBorder="1" applyAlignment="1">
      <alignment horizontal="center"/>
    </xf>
    <xf numFmtId="0" fontId="0" fillId="0" borderId="1" xfId="0" applyFont="1" applyBorder="1"/>
    <xf numFmtId="44" fontId="3" fillId="0" borderId="1" xfId="8" applyFont="1" applyBorder="1"/>
    <xf numFmtId="0" fontId="0" fillId="0" borderId="1" xfId="0" applyFont="1" applyBorder="1" applyAlignment="1">
      <alignment horizontal="left" indent="1"/>
    </xf>
    <xf numFmtId="0" fontId="0" fillId="0" borderId="24" xfId="0" applyFont="1" applyBorder="1"/>
    <xf numFmtId="44" fontId="0" fillId="0" borderId="24" xfId="8" applyFont="1" applyBorder="1"/>
    <xf numFmtId="10" fontId="0" fillId="0" borderId="24" xfId="0" applyNumberFormat="1" applyFont="1" applyBorder="1"/>
    <xf numFmtId="10" fontId="0" fillId="0" borderId="24" xfId="6" applyNumberFormat="1" applyFont="1" applyBorder="1"/>
    <xf numFmtId="0" fontId="0" fillId="0" borderId="0" xfId="0" applyFont="1"/>
    <xf numFmtId="0" fontId="3" fillId="0" borderId="25" xfId="0" applyFont="1" applyBorder="1"/>
    <xf numFmtId="44" fontId="3" fillId="0" borderId="25" xfId="8" applyFont="1" applyBorder="1"/>
    <xf numFmtId="44" fontId="0" fillId="13" borderId="24" xfId="8" applyFont="1" applyFill="1" applyBorder="1"/>
    <xf numFmtId="174" fontId="0" fillId="0" borderId="24" xfId="0" applyNumberFormat="1" applyFont="1" applyBorder="1"/>
    <xf numFmtId="0" fontId="0" fillId="9" borderId="0" xfId="0" applyFont="1" applyFill="1"/>
    <xf numFmtId="10" fontId="0" fillId="9" borderId="0" xfId="0" applyNumberFormat="1" applyFont="1" applyFill="1"/>
    <xf numFmtId="170" fontId="0" fillId="9" borderId="0" xfId="0" applyNumberFormat="1" applyFont="1" applyFill="1"/>
    <xf numFmtId="0" fontId="42" fillId="6" borderId="6" xfId="0" applyFont="1" applyFill="1" applyBorder="1" applyAlignment="1">
      <alignment horizontal="center" vertical="center"/>
    </xf>
    <xf numFmtId="0" fontId="4" fillId="6" borderId="6" xfId="0" applyFont="1" applyFill="1" applyBorder="1" applyAlignment="1">
      <alignment vertical="top"/>
    </xf>
    <xf numFmtId="0" fontId="4" fillId="6" borderId="6" xfId="0" applyFont="1" applyFill="1" applyBorder="1" applyAlignment="1">
      <alignment horizontal="right" vertical="top"/>
    </xf>
    <xf numFmtId="0" fontId="44" fillId="0" borderId="12" xfId="0" applyFont="1" applyBorder="1" applyAlignment="1">
      <alignment horizontal="left"/>
    </xf>
    <xf numFmtId="0" fontId="44" fillId="0" borderId="12" xfId="0" applyFont="1" applyBorder="1" applyAlignment="1">
      <alignment horizontal="right"/>
    </xf>
    <xf numFmtId="169" fontId="44" fillId="0" borderId="12" xfId="0" applyNumberFormat="1" applyFont="1" applyBorder="1"/>
    <xf numFmtId="10" fontId="44" fillId="0" borderId="12" xfId="0" applyNumberFormat="1" applyFont="1" applyBorder="1" applyAlignment="1">
      <alignment vertical="top"/>
    </xf>
    <xf numFmtId="10" fontId="0" fillId="11" borderId="12" xfId="0" applyNumberFormat="1" applyFont="1" applyFill="1" applyBorder="1"/>
    <xf numFmtId="2" fontId="44" fillId="0" borderId="12" xfId="0" applyNumberFormat="1" applyFont="1" applyBorder="1"/>
    <xf numFmtId="2" fontId="0" fillId="11" borderId="12" xfId="0" applyNumberFormat="1" applyFont="1" applyFill="1" applyBorder="1"/>
    <xf numFmtId="0" fontId="44" fillId="0" borderId="13" xfId="0" applyFont="1" applyBorder="1" applyAlignment="1">
      <alignment horizontal="right"/>
    </xf>
    <xf numFmtId="169" fontId="44" fillId="0" borderId="13" xfId="0" applyNumberFormat="1" applyFont="1" applyBorder="1"/>
    <xf numFmtId="169" fontId="44" fillId="0" borderId="14" xfId="0" applyNumberFormat="1" applyFont="1" applyBorder="1"/>
    <xf numFmtId="10" fontId="44" fillId="0" borderId="14" xfId="0" applyNumberFormat="1" applyFont="1" applyBorder="1" applyAlignment="1">
      <alignment vertical="top"/>
    </xf>
    <xf numFmtId="10" fontId="0" fillId="11" borderId="14" xfId="0" applyNumberFormat="1" applyFont="1" applyFill="1" applyBorder="1"/>
    <xf numFmtId="2" fontId="44" fillId="0" borderId="14" xfId="0" applyNumberFormat="1" applyFont="1" applyBorder="1"/>
    <xf numFmtId="2" fontId="0" fillId="11" borderId="14" xfId="0" applyNumberFormat="1" applyFont="1" applyFill="1" applyBorder="1"/>
    <xf numFmtId="0" fontId="3" fillId="0" borderId="15" xfId="0" applyFont="1" applyBorder="1"/>
    <xf numFmtId="10" fontId="0" fillId="0" borderId="15" xfId="0" applyNumberFormat="1" applyFont="1" applyBorder="1"/>
    <xf numFmtId="2" fontId="0" fillId="0" borderId="15" xfId="0" applyNumberFormat="1" applyFont="1" applyBorder="1"/>
    <xf numFmtId="0" fontId="3" fillId="0" borderId="13" xfId="0" applyFont="1" applyBorder="1"/>
    <xf numFmtId="10" fontId="0" fillId="0" borderId="13" xfId="0" applyNumberFormat="1" applyFont="1" applyBorder="1"/>
    <xf numFmtId="2" fontId="0" fillId="0" borderId="13" xfId="0" applyNumberFormat="1" applyFont="1" applyBorder="1"/>
    <xf numFmtId="2" fontId="0" fillId="0" borderId="0" xfId="0" applyNumberFormat="1" applyFont="1"/>
    <xf numFmtId="0" fontId="45" fillId="6" borderId="16" xfId="0" applyFont="1" applyFill="1" applyBorder="1" applyAlignment="1">
      <alignment horizontal="center"/>
    </xf>
    <xf numFmtId="0" fontId="0" fillId="0" borderId="12" xfId="0" applyFont="1" applyBorder="1"/>
    <xf numFmtId="10" fontId="0" fillId="0" borderId="12" xfId="0" applyNumberFormat="1" applyFont="1" applyBorder="1"/>
    <xf numFmtId="10" fontId="44" fillId="0" borderId="12" xfId="0" applyNumberFormat="1" applyFont="1" applyBorder="1"/>
    <xf numFmtId="0" fontId="0" fillId="0" borderId="13" xfId="0" applyFont="1" applyBorder="1"/>
    <xf numFmtId="10" fontId="44" fillId="0" borderId="13" xfId="0" applyNumberFormat="1" applyFont="1" applyBorder="1"/>
    <xf numFmtId="10" fontId="3" fillId="11" borderId="13" xfId="0" applyNumberFormat="1" applyFont="1" applyFill="1" applyBorder="1"/>
    <xf numFmtId="2" fontId="0" fillId="11" borderId="13" xfId="0" applyNumberFormat="1" applyFont="1" applyFill="1" applyBorder="1"/>
    <xf numFmtId="0" fontId="45" fillId="6" borderId="16" xfId="0" applyFont="1" applyFill="1" applyBorder="1"/>
    <xf numFmtId="0" fontId="7" fillId="6" borderId="16" xfId="0" applyFont="1" applyFill="1" applyBorder="1"/>
    <xf numFmtId="0" fontId="3" fillId="0" borderId="12" xfId="0" applyFont="1" applyBorder="1" applyAlignment="1">
      <alignment horizontal="right"/>
    </xf>
    <xf numFmtId="2" fontId="0" fillId="0" borderId="12" xfId="0" applyNumberFormat="1" applyFont="1" applyBorder="1"/>
    <xf numFmtId="169" fontId="0" fillId="0" borderId="13" xfId="0" applyNumberFormat="1" applyFont="1" applyBorder="1"/>
    <xf numFmtId="2" fontId="3" fillId="0" borderId="13" xfId="0" applyNumberFormat="1" applyFont="1" applyBorder="1"/>
    <xf numFmtId="0" fontId="47" fillId="0" borderId="0" xfId="0" applyFont="1"/>
    <xf numFmtId="0" fontId="47" fillId="0" borderId="0" xfId="0" applyFont="1" applyAlignment="1">
      <alignment vertical="top"/>
    </xf>
    <xf numFmtId="0" fontId="0" fillId="0" borderId="0" xfId="0" applyFont="1" applyAlignment="1">
      <alignment vertical="top"/>
    </xf>
    <xf numFmtId="10" fontId="3" fillId="0" borderId="13" xfId="0" applyNumberFormat="1" applyFont="1" applyBorder="1"/>
    <xf numFmtId="0" fontId="48" fillId="9" borderId="1" xfId="0" applyFont="1" applyFill="1" applyBorder="1"/>
    <xf numFmtId="0" fontId="0" fillId="9" borderId="1" xfId="0" applyFont="1" applyFill="1" applyBorder="1"/>
    <xf numFmtId="43" fontId="42" fillId="6" borderId="0" xfId="0" applyNumberFormat="1" applyFont="1" applyFill="1" applyAlignment="1">
      <alignment horizontal="center" vertical="center"/>
    </xf>
    <xf numFmtId="168" fontId="18" fillId="10" borderId="7" xfId="0" applyNumberFormat="1" applyFont="1" applyFill="1" applyBorder="1" applyAlignment="1">
      <alignment horizontal="right"/>
    </xf>
    <xf numFmtId="175" fontId="18" fillId="10" borderId="7" xfId="0" applyNumberFormat="1" applyFont="1" applyFill="1" applyBorder="1" applyAlignment="1">
      <alignment horizontal="right"/>
    </xf>
    <xf numFmtId="43" fontId="0" fillId="7" borderId="1" xfId="0" applyNumberFormat="1" applyFont="1" applyFill="1" applyBorder="1"/>
    <xf numFmtId="0" fontId="0" fillId="7" borderId="1" xfId="0" applyFont="1" applyFill="1" applyBorder="1"/>
    <xf numFmtId="168" fontId="11" fillId="7" borderId="1" xfId="0" applyNumberFormat="1" applyFont="1" applyFill="1" applyBorder="1" applyAlignment="1">
      <alignment horizontal="right"/>
    </xf>
    <xf numFmtId="0" fontId="0" fillId="0" borderId="1" xfId="0" quotePrefix="1" applyFont="1" applyBorder="1"/>
    <xf numFmtId="0" fontId="0" fillId="10" borderId="8" xfId="0" applyFont="1" applyFill="1" applyBorder="1"/>
    <xf numFmtId="168" fontId="0" fillId="10" borderId="8" xfId="0" applyNumberFormat="1" applyFont="1" applyFill="1" applyBorder="1"/>
    <xf numFmtId="0" fontId="3" fillId="10" borderId="8" xfId="0" applyFont="1" applyFill="1" applyBorder="1"/>
    <xf numFmtId="168" fontId="3" fillId="10" borderId="8" xfId="0" applyNumberFormat="1" applyFont="1" applyFill="1" applyBorder="1"/>
    <xf numFmtId="0" fontId="4" fillId="6" borderId="19" xfId="0" applyFont="1" applyFill="1" applyBorder="1"/>
    <xf numFmtId="0" fontId="7" fillId="6" borderId="19" xfId="0" applyFont="1" applyFill="1" applyBorder="1"/>
    <xf numFmtId="0" fontId="0" fillId="0" borderId="9" xfId="0" applyFont="1" applyBorder="1"/>
    <xf numFmtId="43" fontId="0" fillId="0" borderId="9" xfId="0" applyNumberFormat="1" applyFont="1" applyBorder="1"/>
    <xf numFmtId="43" fontId="0" fillId="0" borderId="0" xfId="0" applyNumberFormat="1" applyFont="1"/>
    <xf numFmtId="0" fontId="0" fillId="0" borderId="8" xfId="0" applyFont="1" applyBorder="1"/>
    <xf numFmtId="43" fontId="0" fillId="0" borderId="8" xfId="0" applyNumberFormat="1" applyFont="1" applyBorder="1"/>
    <xf numFmtId="0" fontId="3" fillId="10" borderId="10" xfId="0" applyFont="1" applyFill="1" applyBorder="1"/>
    <xf numFmtId="43" fontId="3" fillId="10" borderId="10" xfId="0" applyNumberFormat="1" applyFont="1" applyFill="1" applyBorder="1"/>
    <xf numFmtId="0" fontId="36" fillId="0" borderId="0" xfId="0" applyFont="1"/>
    <xf numFmtId="0" fontId="0" fillId="0" borderId="11" xfId="0" applyFont="1" applyBorder="1"/>
    <xf numFmtId="43" fontId="45" fillId="6" borderId="0" xfId="0" applyNumberFormat="1" applyFont="1" applyFill="1" applyAlignment="1">
      <alignment horizontal="center" vertical="center"/>
    </xf>
    <xf numFmtId="0" fontId="0" fillId="0" borderId="2" xfId="0" applyFont="1" applyBorder="1"/>
    <xf numFmtId="166" fontId="0" fillId="0" borderId="2" xfId="0" applyNumberFormat="1" applyFont="1" applyBorder="1"/>
    <xf numFmtId="43" fontId="0" fillId="0" borderId="2" xfId="0" applyNumberFormat="1" applyFont="1" applyBorder="1"/>
    <xf numFmtId="0" fontId="0" fillId="7" borderId="3" xfId="0" applyFont="1" applyFill="1" applyBorder="1"/>
    <xf numFmtId="0" fontId="0" fillId="7" borderId="0" xfId="0" applyFont="1" applyFill="1"/>
    <xf numFmtId="0" fontId="0" fillId="0" borderId="0" xfId="0" applyFont="1" applyBorder="1"/>
    <xf numFmtId="0" fontId="3" fillId="0" borderId="0" xfId="0" applyFont="1" applyBorder="1" applyAlignment="1">
      <alignment horizontal="center" vertical="center"/>
    </xf>
    <xf numFmtId="0" fontId="3" fillId="0" borderId="0" xfId="0" applyFont="1" applyBorder="1" applyAlignment="1">
      <alignment horizontal="right" vertical="center"/>
    </xf>
    <xf numFmtId="0" fontId="0" fillId="0" borderId="0" xfId="0" applyBorder="1"/>
    <xf numFmtId="0" fontId="3" fillId="0" borderId="0" xfId="0" applyFont="1" applyBorder="1" applyAlignment="1">
      <alignment vertical="center"/>
    </xf>
    <xf numFmtId="10" fontId="0" fillId="0" borderId="0" xfId="0" applyNumberFormat="1" applyFont="1" applyBorder="1" applyAlignment="1">
      <alignment horizontal="right" vertical="center"/>
    </xf>
    <xf numFmtId="10" fontId="0" fillId="0" borderId="0" xfId="0" applyNumberFormat="1" applyBorder="1" applyAlignment="1">
      <alignment horizontal="right" vertical="center"/>
    </xf>
    <xf numFmtId="0" fontId="0" fillId="0" borderId="0" xfId="9" applyFont="1"/>
    <xf numFmtId="0" fontId="49" fillId="6" borderId="0" xfId="0" applyFont="1" applyFill="1" applyAlignment="1">
      <alignment horizontal="center"/>
    </xf>
    <xf numFmtId="0" fontId="0" fillId="0" borderId="0" xfId="0" applyFont="1" applyAlignment="1">
      <alignment wrapText="1"/>
    </xf>
    <xf numFmtId="0" fontId="42" fillId="6" borderId="0" xfId="0" applyFont="1" applyFill="1" applyAlignment="1">
      <alignment horizontal="center" vertical="center" wrapText="1"/>
    </xf>
    <xf numFmtId="0" fontId="42" fillId="6" borderId="6" xfId="0" applyFont="1" applyFill="1" applyBorder="1" applyAlignment="1">
      <alignment horizontal="center" vertical="center" wrapText="1"/>
    </xf>
    <xf numFmtId="0" fontId="32" fillId="6" borderId="6" xfId="0" applyFont="1" applyFill="1" applyBorder="1" applyAlignment="1">
      <alignment wrapText="1"/>
    </xf>
    <xf numFmtId="17" fontId="32" fillId="6" borderId="6" xfId="0" applyNumberFormat="1" applyFont="1" applyFill="1" applyBorder="1" applyAlignment="1">
      <alignment wrapText="1"/>
    </xf>
    <xf numFmtId="0" fontId="35" fillId="6" borderId="0" xfId="0" applyFont="1" applyFill="1" applyAlignment="1">
      <alignment wrapText="1"/>
    </xf>
    <xf numFmtId="0" fontId="32" fillId="6" borderId="6" xfId="0" applyFont="1" applyFill="1" applyBorder="1" applyAlignment="1">
      <alignment horizontal="center" vertical="center" wrapText="1"/>
    </xf>
    <xf numFmtId="0" fontId="32" fillId="6" borderId="6" xfId="0" applyFont="1" applyFill="1" applyBorder="1" applyAlignment="1">
      <alignment horizontal="center" vertical="center" wrapText="1"/>
    </xf>
    <xf numFmtId="0" fontId="0" fillId="0" borderId="7" xfId="0" applyFont="1" applyBorder="1" applyAlignment="1">
      <alignment wrapText="1"/>
    </xf>
    <xf numFmtId="43" fontId="0" fillId="0" borderId="7" xfId="0" applyNumberFormat="1" applyFont="1" applyBorder="1" applyAlignment="1">
      <alignment wrapText="1"/>
    </xf>
    <xf numFmtId="176" fontId="0" fillId="0" borderId="0" xfId="0" applyNumberFormat="1" applyFont="1" applyAlignment="1">
      <alignment wrapText="1"/>
    </xf>
    <xf numFmtId="0" fontId="0" fillId="0" borderId="1" xfId="0" applyFont="1" applyBorder="1" applyAlignment="1">
      <alignment wrapText="1"/>
    </xf>
    <xf numFmtId="10" fontId="0" fillId="0" borderId="1" xfId="6" applyNumberFormat="1" applyFont="1" applyBorder="1" applyAlignment="1">
      <alignment wrapText="1"/>
    </xf>
    <xf numFmtId="43" fontId="0" fillId="0" borderId="1" xfId="0" applyNumberFormat="1" applyFont="1" applyBorder="1" applyAlignment="1">
      <alignment wrapText="1"/>
    </xf>
    <xf numFmtId="177" fontId="0" fillId="0" borderId="0" xfId="0" applyNumberFormat="1" applyFont="1" applyAlignment="1">
      <alignment wrapText="1"/>
    </xf>
    <xf numFmtId="43" fontId="0" fillId="0" borderId="1" xfId="6" applyNumberFormat="1" applyFont="1" applyBorder="1" applyAlignment="1">
      <alignment wrapText="1"/>
    </xf>
    <xf numFmtId="178" fontId="0" fillId="0" borderId="1" xfId="0" applyNumberFormat="1" applyFont="1" applyBorder="1" applyAlignment="1">
      <alignment wrapText="1"/>
    </xf>
    <xf numFmtId="17" fontId="32" fillId="6" borderId="6" xfId="0" applyNumberFormat="1"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2" xfId="0" applyFont="1" applyBorder="1" applyAlignment="1">
      <alignment wrapText="1"/>
    </xf>
    <xf numFmtId="43" fontId="0" fillId="0" borderId="2" xfId="0" applyNumberFormat="1" applyFont="1" applyBorder="1" applyAlignment="1">
      <alignment wrapText="1"/>
    </xf>
    <xf numFmtId="0" fontId="0" fillId="0" borderId="0" xfId="0" applyFont="1" applyAlignment="1">
      <alignment vertical="center" wrapText="1"/>
    </xf>
    <xf numFmtId="10" fontId="0" fillId="0" borderId="1" xfId="0" applyNumberFormat="1" applyFont="1" applyBorder="1" applyAlignment="1">
      <alignment wrapText="1"/>
    </xf>
    <xf numFmtId="3" fontId="0" fillId="0" borderId="1" xfId="0" applyNumberFormat="1" applyFont="1" applyBorder="1" applyAlignment="1">
      <alignment wrapText="1"/>
    </xf>
    <xf numFmtId="0" fontId="0" fillId="0" borderId="35" xfId="0" applyFont="1" applyBorder="1" applyAlignment="1">
      <alignment wrapText="1"/>
    </xf>
    <xf numFmtId="0" fontId="0" fillId="0" borderId="35" xfId="0" applyFont="1" applyBorder="1" applyAlignment="1">
      <alignment vertical="center" wrapText="1"/>
    </xf>
    <xf numFmtId="0" fontId="42" fillId="6" borderId="0" xfId="0" applyFont="1" applyFill="1" applyAlignment="1">
      <alignment horizontal="center" vertical="center"/>
    </xf>
    <xf numFmtId="0" fontId="35" fillId="0" borderId="33" xfId="0" applyFont="1" applyBorder="1" applyAlignment="1">
      <alignment horizontal="center" vertical="center" wrapText="1"/>
    </xf>
    <xf numFmtId="0" fontId="35" fillId="0" borderId="0" xfId="0" applyFont="1" applyAlignment="1">
      <alignment horizontal="center" vertical="center" wrapText="1"/>
    </xf>
    <xf numFmtId="0" fontId="0" fillId="0" borderId="34" xfId="0" applyFont="1" applyBorder="1"/>
    <xf numFmtId="0" fontId="35" fillId="0" borderId="2" xfId="0" applyFont="1" applyBorder="1" applyAlignment="1">
      <alignment horizontal="center" vertical="center" wrapText="1"/>
    </xf>
    <xf numFmtId="0" fontId="0" fillId="0" borderId="0" xfId="0" applyFont="1" applyAlignment="1">
      <alignment horizontal="center" vertical="center" wrapText="1"/>
    </xf>
    <xf numFmtId="0" fontId="45" fillId="6" borderId="0" xfId="0" applyFont="1" applyFill="1" applyAlignment="1">
      <alignment horizontal="center" vertical="center"/>
    </xf>
    <xf numFmtId="0" fontId="45" fillId="6" borderId="6" xfId="0" applyFont="1" applyFill="1" applyBorder="1" applyAlignment="1">
      <alignment horizontal="center" vertical="center"/>
    </xf>
    <xf numFmtId="0" fontId="0" fillId="0" borderId="33" xfId="0" applyFont="1" applyBorder="1" applyAlignment="1">
      <alignment horizontal="center" vertical="center" wrapText="1"/>
    </xf>
    <xf numFmtId="43" fontId="3" fillId="0" borderId="1" xfId="1" applyFont="1" applyBorder="1"/>
    <xf numFmtId="0" fontId="35" fillId="0" borderId="0" xfId="0" applyFont="1" applyAlignment="1">
      <alignment vertical="center" wrapText="1"/>
    </xf>
    <xf numFmtId="0" fontId="0" fillId="0" borderId="22" xfId="0" applyFont="1" applyBorder="1" applyAlignment="1">
      <alignment horizontal="center" vertical="center" wrapText="1"/>
    </xf>
    <xf numFmtId="0" fontId="0" fillId="0" borderId="0" xfId="0" applyFont="1" applyAlignment="1">
      <alignment horizontal="center" vertical="center" wrapText="1"/>
    </xf>
    <xf numFmtId="0" fontId="0" fillId="0" borderId="2" xfId="0" applyFont="1" applyBorder="1" applyAlignment="1">
      <alignment horizontal="center" vertical="center" wrapText="1"/>
    </xf>
    <xf numFmtId="0" fontId="0" fillId="0" borderId="0" xfId="0" applyFont="1" applyAlignment="1">
      <alignment horizontal="center"/>
    </xf>
    <xf numFmtId="0" fontId="7" fillId="6" borderId="0" xfId="0" applyFont="1" applyFill="1" applyAlignment="1">
      <alignment horizontal="center" vertical="center"/>
    </xf>
    <xf numFmtId="0" fontId="7" fillId="6" borderId="6" xfId="0" applyFont="1" applyFill="1" applyBorder="1" applyAlignment="1">
      <alignment horizontal="center" vertical="center"/>
    </xf>
    <xf numFmtId="0" fontId="0" fillId="0" borderId="7" xfId="0" applyFont="1" applyBorder="1"/>
    <xf numFmtId="44" fontId="0" fillId="0" borderId="1" xfId="0" applyNumberFormat="1" applyFont="1" applyBorder="1"/>
    <xf numFmtId="0" fontId="45" fillId="6" borderId="0" xfId="0" applyFont="1" applyFill="1" applyAlignment="1">
      <alignment horizontal="center"/>
    </xf>
    <xf numFmtId="9" fontId="0" fillId="0" borderId="1" xfId="0" applyNumberFormat="1" applyFont="1" applyBorder="1"/>
    <xf numFmtId="0" fontId="0" fillId="0" borderId="0" xfId="0" applyFont="1" applyAlignment="1">
      <alignment horizontal="left" indent="1"/>
    </xf>
    <xf numFmtId="173" fontId="3" fillId="0" borderId="0" xfId="0" applyNumberFormat="1" applyFont="1"/>
    <xf numFmtId="10" fontId="0" fillId="0" borderId="0" xfId="0" applyNumberFormat="1" applyFont="1"/>
    <xf numFmtId="0" fontId="0" fillId="0" borderId="4" xfId="0" applyFont="1" applyBorder="1"/>
    <xf numFmtId="168" fontId="0" fillId="7" borderId="3" xfId="0" applyNumberFormat="1" applyFont="1" applyFill="1" applyBorder="1"/>
    <xf numFmtId="168" fontId="0" fillId="7" borderId="0" xfId="0" applyNumberFormat="1" applyFont="1" applyFill="1"/>
  </cellXfs>
  <cellStyles count="11">
    <cellStyle name="60% - Accent1" xfId="3" builtinId="32"/>
    <cellStyle name="60% - Accent3" xfId="4" builtinId="40"/>
    <cellStyle name="Accent6" xfId="5" builtinId="49"/>
    <cellStyle name="Comma" xfId="1" builtinId="3"/>
    <cellStyle name="Currency" xfId="8" builtinId="4"/>
    <cellStyle name="Hyperlink" xfId="2" builtinId="8"/>
    <cellStyle name="Normal" xfId="0" builtinId="0"/>
    <cellStyle name="Normal 2" xfId="7" xr:uid="{979C6871-36F3-4287-8A92-32BD82C93E43}"/>
    <cellStyle name="Normal 3" xfId="9" xr:uid="{27B3DF8D-231F-414D-9A3E-0AB06519D299}"/>
    <cellStyle name="Percent" xfId="6" builtinId="5"/>
    <cellStyle name="Percent 2" xfId="10" xr:uid="{2B17E557-21E9-468D-BF8E-D6467AF20608}"/>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18804545983476"/>
          <c:y val="0.13405208151797929"/>
          <c:w val="0.79214958044037598"/>
          <c:h val="0.7766451728745174"/>
        </c:manualLayout>
      </c:layout>
      <c:barChart>
        <c:barDir val="bar"/>
        <c:grouping val="clustered"/>
        <c:varyColors val="0"/>
        <c:ser>
          <c:idx val="0"/>
          <c:order val="0"/>
          <c:tx>
            <c:v>Revenue</c:v>
          </c:tx>
          <c:spPr>
            <a:solidFill>
              <a:srgbClr val="002060"/>
            </a:solidFill>
            <a:ln>
              <a:noFill/>
            </a:ln>
            <a:effectLst/>
          </c:spPr>
          <c:invertIfNegative val="0"/>
          <c:dLbls>
            <c:dLbl>
              <c:idx val="3"/>
              <c:layout>
                <c:manualLayout>
                  <c:x val="-8.2101806239738787E-3"/>
                  <c:y val="-0.114017437961099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91-41F6-8430-67189A80D30D}"/>
                </c:ext>
              </c:extLst>
            </c:dLbl>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'Key Financial Metric '!$D$23:$G$23</c:f>
              <c:strCache>
                <c:ptCount val="4"/>
                <c:pt idx="0">
                  <c:v>JSW Steel</c:v>
                </c:pt>
                <c:pt idx="1">
                  <c:v>SAIL</c:v>
                </c:pt>
                <c:pt idx="2">
                  <c:v>Jindal Steel</c:v>
                </c:pt>
                <c:pt idx="3">
                  <c:v>Tata Steel</c:v>
                </c:pt>
              </c:strCache>
            </c:strRef>
          </c:cat>
          <c:val>
            <c:numRef>
              <c:f>'Key Financial Metric '!$D$24:$G$24</c:f>
              <c:numCache>
                <c:formatCode>_(* #,##0.00_);_(* \(#,##0.00\);_(* "-"??_);_(@_)</c:formatCode>
                <c:ptCount val="4"/>
                <c:pt idx="0">
                  <c:v>189687</c:v>
                </c:pt>
                <c:pt idx="1">
                  <c:v>110810</c:v>
                </c:pt>
                <c:pt idx="2">
                  <c:v>62412</c:v>
                </c:pt>
                <c:pt idx="3">
                  <c:v>232140</c:v>
                </c:pt>
              </c:numCache>
            </c:numRef>
          </c:val>
          <c:extLst>
            <c:ext xmlns:c16="http://schemas.microsoft.com/office/drawing/2014/chart" uri="{C3380CC4-5D6E-409C-BE32-E72D297353CC}">
              <c16:uniqueId val="{00000000-1291-41F6-8430-67189A80D30D}"/>
            </c:ext>
          </c:extLst>
        </c:ser>
        <c:ser>
          <c:idx val="1"/>
          <c:order val="1"/>
          <c:tx>
            <c:v>PAT</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Financial Metric '!$D$23:$G$23</c:f>
              <c:strCache>
                <c:ptCount val="4"/>
                <c:pt idx="0">
                  <c:v>JSW Steel</c:v>
                </c:pt>
                <c:pt idx="1">
                  <c:v>SAIL</c:v>
                </c:pt>
                <c:pt idx="2">
                  <c:v>Jindal Steel</c:v>
                </c:pt>
                <c:pt idx="3">
                  <c:v>Tata Steel</c:v>
                </c:pt>
              </c:strCache>
            </c:strRef>
          </c:cat>
          <c:val>
            <c:numRef>
              <c:f>'Key Financial Metric '!$D$26:$G$26</c:f>
              <c:numCache>
                <c:formatCode>#,##0</c:formatCode>
                <c:ptCount val="4"/>
                <c:pt idx="0" formatCode="_(* #,##0.00_);_(* \(#,##0.00\);_(* &quot;-&quot;??_);_(@_)">
                  <c:v>12040</c:v>
                </c:pt>
                <c:pt idx="1">
                  <c:v>3233</c:v>
                </c:pt>
                <c:pt idx="2">
                  <c:v>3361</c:v>
                </c:pt>
                <c:pt idx="3" formatCode="_(* #,##0.00_);_(* \(#,##0.00\);_(* &quot;-&quot;??_);_(@_)">
                  <c:v>22445.709999999992</c:v>
                </c:pt>
              </c:numCache>
            </c:numRef>
          </c:val>
          <c:extLst>
            <c:ext xmlns:c16="http://schemas.microsoft.com/office/drawing/2014/chart" uri="{C3380CC4-5D6E-409C-BE32-E72D297353CC}">
              <c16:uniqueId val="{00000001-1291-41F6-8430-67189A80D30D}"/>
            </c:ext>
          </c:extLst>
        </c:ser>
        <c:dLbls>
          <c:dLblPos val="outEnd"/>
          <c:showLegendKey val="0"/>
          <c:showVal val="1"/>
          <c:showCatName val="0"/>
          <c:showSerName val="0"/>
          <c:showPercent val="0"/>
          <c:showBubbleSize val="0"/>
        </c:dLbls>
        <c:gapWidth val="219"/>
        <c:axId val="150490624"/>
        <c:axId val="151360432"/>
      </c:barChart>
      <c:catAx>
        <c:axId val="15049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0432"/>
        <c:crosses val="autoZero"/>
        <c:auto val="1"/>
        <c:lblAlgn val="ctr"/>
        <c:lblOffset val="100"/>
        <c:noMultiLvlLbl val="0"/>
      </c:catAx>
      <c:valAx>
        <c:axId val="151360432"/>
        <c:scaling>
          <c:orientation val="minMax"/>
        </c:scaling>
        <c:delete val="1"/>
        <c:axPos val="b"/>
        <c:numFmt formatCode="_(* #,##0.00_);_(* \(#,##0.00\);_(* &quot;-&quot;??_);_(@_)" sourceLinked="1"/>
        <c:majorTickMark val="none"/>
        <c:minorTickMark val="none"/>
        <c:tickLblPos val="nextTo"/>
        <c:crossAx val="150490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5Y</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Sheet3!$B$1</c:f>
              <c:strCache>
                <c:ptCount val="1"/>
                <c:pt idx="0">
                  <c:v>Price</c:v>
                </c:pt>
              </c:strCache>
            </c:strRef>
          </c:tx>
          <c:spPr>
            <a:ln w="28575" cap="rnd">
              <a:solidFill>
                <a:srgbClr val="002060"/>
              </a:solidFill>
              <a:round/>
            </a:ln>
            <a:effectLst/>
          </c:spPr>
          <c:marker>
            <c:symbol val="none"/>
          </c:marker>
          <c:cat>
            <c:numRef>
              <c:f>Sheet3!$A$2:$A$991</c:f>
              <c:numCache>
                <c:formatCode>m/d/yyyy</c:formatCode>
                <c:ptCount val="990"/>
                <c:pt idx="0">
                  <c:v>46234</c:v>
                </c:pt>
                <c:pt idx="1">
                  <c:v>46233</c:v>
                </c:pt>
                <c:pt idx="2">
                  <c:v>46232</c:v>
                </c:pt>
                <c:pt idx="3">
                  <c:v>46231</c:v>
                </c:pt>
                <c:pt idx="4">
                  <c:v>46230</c:v>
                </c:pt>
                <c:pt idx="5">
                  <c:v>46227</c:v>
                </c:pt>
                <c:pt idx="6">
                  <c:v>46226</c:v>
                </c:pt>
                <c:pt idx="7">
                  <c:v>46225</c:v>
                </c:pt>
                <c:pt idx="8">
                  <c:v>46224</c:v>
                </c:pt>
                <c:pt idx="9">
                  <c:v>46223</c:v>
                </c:pt>
                <c:pt idx="10">
                  <c:v>46220</c:v>
                </c:pt>
                <c:pt idx="11">
                  <c:v>46219</c:v>
                </c:pt>
                <c:pt idx="12">
                  <c:v>46218</c:v>
                </c:pt>
                <c:pt idx="13">
                  <c:v>46217</c:v>
                </c:pt>
                <c:pt idx="14">
                  <c:v>46216</c:v>
                </c:pt>
                <c:pt idx="15">
                  <c:v>46213</c:v>
                </c:pt>
                <c:pt idx="16">
                  <c:v>46212</c:v>
                </c:pt>
                <c:pt idx="17">
                  <c:v>46211</c:v>
                </c:pt>
                <c:pt idx="18">
                  <c:v>46210</c:v>
                </c:pt>
                <c:pt idx="19">
                  <c:v>46209</c:v>
                </c:pt>
                <c:pt idx="20">
                  <c:v>46206</c:v>
                </c:pt>
                <c:pt idx="21">
                  <c:v>46205</c:v>
                </c:pt>
                <c:pt idx="22">
                  <c:v>46204</c:v>
                </c:pt>
                <c:pt idx="23">
                  <c:v>46203</c:v>
                </c:pt>
                <c:pt idx="24">
                  <c:v>46202</c:v>
                </c:pt>
                <c:pt idx="25">
                  <c:v>46198</c:v>
                </c:pt>
                <c:pt idx="26">
                  <c:v>46197</c:v>
                </c:pt>
                <c:pt idx="27">
                  <c:v>46196</c:v>
                </c:pt>
                <c:pt idx="28">
                  <c:v>46195</c:v>
                </c:pt>
                <c:pt idx="29">
                  <c:v>46192</c:v>
                </c:pt>
                <c:pt idx="30">
                  <c:v>46191</c:v>
                </c:pt>
                <c:pt idx="31">
                  <c:v>46190</c:v>
                </c:pt>
                <c:pt idx="32">
                  <c:v>46189</c:v>
                </c:pt>
                <c:pt idx="33">
                  <c:v>46188</c:v>
                </c:pt>
                <c:pt idx="34">
                  <c:v>46185</c:v>
                </c:pt>
                <c:pt idx="35">
                  <c:v>46184</c:v>
                </c:pt>
                <c:pt idx="36">
                  <c:v>46183</c:v>
                </c:pt>
                <c:pt idx="37">
                  <c:v>46182</c:v>
                </c:pt>
                <c:pt idx="38">
                  <c:v>46181</c:v>
                </c:pt>
                <c:pt idx="39">
                  <c:v>46178</c:v>
                </c:pt>
                <c:pt idx="40">
                  <c:v>46177</c:v>
                </c:pt>
                <c:pt idx="41">
                  <c:v>46176</c:v>
                </c:pt>
                <c:pt idx="42">
                  <c:v>46175</c:v>
                </c:pt>
                <c:pt idx="43">
                  <c:v>46174</c:v>
                </c:pt>
                <c:pt idx="44">
                  <c:v>46171</c:v>
                </c:pt>
                <c:pt idx="45">
                  <c:v>46169</c:v>
                </c:pt>
                <c:pt idx="46">
                  <c:v>46168</c:v>
                </c:pt>
                <c:pt idx="47">
                  <c:v>46167</c:v>
                </c:pt>
                <c:pt idx="48">
                  <c:v>46164</c:v>
                </c:pt>
                <c:pt idx="49">
                  <c:v>46163</c:v>
                </c:pt>
                <c:pt idx="50">
                  <c:v>46162</c:v>
                </c:pt>
                <c:pt idx="51">
                  <c:v>46161</c:v>
                </c:pt>
                <c:pt idx="52">
                  <c:v>46160</c:v>
                </c:pt>
                <c:pt idx="53">
                  <c:v>46157</c:v>
                </c:pt>
                <c:pt idx="54">
                  <c:v>46156</c:v>
                </c:pt>
                <c:pt idx="55">
                  <c:v>46155</c:v>
                </c:pt>
                <c:pt idx="56">
                  <c:v>46154</c:v>
                </c:pt>
                <c:pt idx="57">
                  <c:v>46153</c:v>
                </c:pt>
                <c:pt idx="58">
                  <c:v>46150</c:v>
                </c:pt>
                <c:pt idx="59">
                  <c:v>46149</c:v>
                </c:pt>
                <c:pt idx="60">
                  <c:v>46148</c:v>
                </c:pt>
                <c:pt idx="61">
                  <c:v>46147</c:v>
                </c:pt>
                <c:pt idx="62">
                  <c:v>46146</c:v>
                </c:pt>
                <c:pt idx="63">
                  <c:v>46142</c:v>
                </c:pt>
                <c:pt idx="64">
                  <c:v>46141</c:v>
                </c:pt>
                <c:pt idx="65">
                  <c:v>46140</c:v>
                </c:pt>
                <c:pt idx="66">
                  <c:v>46139</c:v>
                </c:pt>
                <c:pt idx="67">
                  <c:v>46136</c:v>
                </c:pt>
                <c:pt idx="68">
                  <c:v>46135</c:v>
                </c:pt>
                <c:pt idx="69">
                  <c:v>46134</c:v>
                </c:pt>
                <c:pt idx="70">
                  <c:v>46133</c:v>
                </c:pt>
                <c:pt idx="71">
                  <c:v>46132</c:v>
                </c:pt>
                <c:pt idx="72">
                  <c:v>46129</c:v>
                </c:pt>
                <c:pt idx="73">
                  <c:v>46128</c:v>
                </c:pt>
                <c:pt idx="74">
                  <c:v>46127</c:v>
                </c:pt>
                <c:pt idx="75">
                  <c:v>46125</c:v>
                </c:pt>
                <c:pt idx="76">
                  <c:v>46122</c:v>
                </c:pt>
                <c:pt idx="77">
                  <c:v>46121</c:v>
                </c:pt>
                <c:pt idx="78">
                  <c:v>46120</c:v>
                </c:pt>
                <c:pt idx="79">
                  <c:v>46119</c:v>
                </c:pt>
                <c:pt idx="80">
                  <c:v>46118</c:v>
                </c:pt>
                <c:pt idx="81">
                  <c:v>46114</c:v>
                </c:pt>
                <c:pt idx="82">
                  <c:v>46113</c:v>
                </c:pt>
                <c:pt idx="83">
                  <c:v>46111</c:v>
                </c:pt>
                <c:pt idx="84">
                  <c:v>46108</c:v>
                </c:pt>
                <c:pt idx="85">
                  <c:v>46106</c:v>
                </c:pt>
                <c:pt idx="86">
                  <c:v>46105</c:v>
                </c:pt>
                <c:pt idx="87">
                  <c:v>46104</c:v>
                </c:pt>
                <c:pt idx="88">
                  <c:v>46101</c:v>
                </c:pt>
                <c:pt idx="89">
                  <c:v>46100</c:v>
                </c:pt>
                <c:pt idx="90">
                  <c:v>46099</c:v>
                </c:pt>
                <c:pt idx="91">
                  <c:v>46098</c:v>
                </c:pt>
                <c:pt idx="92">
                  <c:v>46097</c:v>
                </c:pt>
                <c:pt idx="93">
                  <c:v>46094</c:v>
                </c:pt>
                <c:pt idx="94">
                  <c:v>46093</c:v>
                </c:pt>
                <c:pt idx="95">
                  <c:v>46092</c:v>
                </c:pt>
                <c:pt idx="96">
                  <c:v>46091</c:v>
                </c:pt>
                <c:pt idx="97">
                  <c:v>46090</c:v>
                </c:pt>
                <c:pt idx="98">
                  <c:v>46087</c:v>
                </c:pt>
                <c:pt idx="99">
                  <c:v>46086</c:v>
                </c:pt>
                <c:pt idx="100">
                  <c:v>46085</c:v>
                </c:pt>
                <c:pt idx="101">
                  <c:v>46083</c:v>
                </c:pt>
                <c:pt idx="102">
                  <c:v>46080</c:v>
                </c:pt>
                <c:pt idx="103">
                  <c:v>46079</c:v>
                </c:pt>
                <c:pt idx="104">
                  <c:v>46078</c:v>
                </c:pt>
                <c:pt idx="105">
                  <c:v>46077</c:v>
                </c:pt>
                <c:pt idx="106">
                  <c:v>46076</c:v>
                </c:pt>
                <c:pt idx="107">
                  <c:v>46073</c:v>
                </c:pt>
                <c:pt idx="108">
                  <c:v>46072</c:v>
                </c:pt>
                <c:pt idx="109">
                  <c:v>46071</c:v>
                </c:pt>
                <c:pt idx="110">
                  <c:v>46070</c:v>
                </c:pt>
                <c:pt idx="111">
                  <c:v>46069</c:v>
                </c:pt>
                <c:pt idx="112">
                  <c:v>46066</c:v>
                </c:pt>
                <c:pt idx="113">
                  <c:v>46065</c:v>
                </c:pt>
                <c:pt idx="114">
                  <c:v>46064</c:v>
                </c:pt>
                <c:pt idx="115">
                  <c:v>46063</c:v>
                </c:pt>
                <c:pt idx="116">
                  <c:v>46062</c:v>
                </c:pt>
                <c:pt idx="117">
                  <c:v>46059</c:v>
                </c:pt>
                <c:pt idx="118">
                  <c:v>46058</c:v>
                </c:pt>
                <c:pt idx="119">
                  <c:v>46057</c:v>
                </c:pt>
                <c:pt idx="120">
                  <c:v>46056</c:v>
                </c:pt>
                <c:pt idx="121">
                  <c:v>46055</c:v>
                </c:pt>
                <c:pt idx="122">
                  <c:v>46054</c:v>
                </c:pt>
                <c:pt idx="123">
                  <c:v>46052</c:v>
                </c:pt>
                <c:pt idx="124">
                  <c:v>46051</c:v>
                </c:pt>
                <c:pt idx="125">
                  <c:v>46050</c:v>
                </c:pt>
                <c:pt idx="126">
                  <c:v>46049</c:v>
                </c:pt>
                <c:pt idx="127">
                  <c:v>46045</c:v>
                </c:pt>
                <c:pt idx="128">
                  <c:v>46044</c:v>
                </c:pt>
                <c:pt idx="129">
                  <c:v>46043</c:v>
                </c:pt>
                <c:pt idx="130">
                  <c:v>46042</c:v>
                </c:pt>
                <c:pt idx="131">
                  <c:v>46041</c:v>
                </c:pt>
                <c:pt idx="132">
                  <c:v>46038</c:v>
                </c:pt>
                <c:pt idx="133">
                  <c:v>46036</c:v>
                </c:pt>
                <c:pt idx="134">
                  <c:v>46035</c:v>
                </c:pt>
                <c:pt idx="135">
                  <c:v>46034</c:v>
                </c:pt>
                <c:pt idx="136">
                  <c:v>46031</c:v>
                </c:pt>
                <c:pt idx="137">
                  <c:v>46030</c:v>
                </c:pt>
                <c:pt idx="138">
                  <c:v>46029</c:v>
                </c:pt>
                <c:pt idx="139">
                  <c:v>46028</c:v>
                </c:pt>
                <c:pt idx="140">
                  <c:v>46027</c:v>
                </c:pt>
                <c:pt idx="141">
                  <c:v>46024</c:v>
                </c:pt>
                <c:pt idx="142">
                  <c:v>46023</c:v>
                </c:pt>
                <c:pt idx="143">
                  <c:v>46022</c:v>
                </c:pt>
                <c:pt idx="144">
                  <c:v>46021</c:v>
                </c:pt>
                <c:pt idx="145">
                  <c:v>46020</c:v>
                </c:pt>
                <c:pt idx="146">
                  <c:v>46017</c:v>
                </c:pt>
                <c:pt idx="147">
                  <c:v>46015</c:v>
                </c:pt>
                <c:pt idx="148">
                  <c:v>46014</c:v>
                </c:pt>
                <c:pt idx="149">
                  <c:v>46013</c:v>
                </c:pt>
                <c:pt idx="150">
                  <c:v>46010</c:v>
                </c:pt>
                <c:pt idx="151">
                  <c:v>46009</c:v>
                </c:pt>
                <c:pt idx="152">
                  <c:v>46008</c:v>
                </c:pt>
                <c:pt idx="153">
                  <c:v>46007</c:v>
                </c:pt>
                <c:pt idx="154">
                  <c:v>46006</c:v>
                </c:pt>
                <c:pt idx="155">
                  <c:v>46003</c:v>
                </c:pt>
                <c:pt idx="156">
                  <c:v>46002</c:v>
                </c:pt>
                <c:pt idx="157">
                  <c:v>46001</c:v>
                </c:pt>
                <c:pt idx="158">
                  <c:v>46000</c:v>
                </c:pt>
                <c:pt idx="159">
                  <c:v>45999</c:v>
                </c:pt>
                <c:pt idx="160">
                  <c:v>45996</c:v>
                </c:pt>
                <c:pt idx="161">
                  <c:v>45995</c:v>
                </c:pt>
                <c:pt idx="162">
                  <c:v>45994</c:v>
                </c:pt>
                <c:pt idx="163">
                  <c:v>45993</c:v>
                </c:pt>
                <c:pt idx="164">
                  <c:v>45992</c:v>
                </c:pt>
                <c:pt idx="165">
                  <c:v>45989</c:v>
                </c:pt>
                <c:pt idx="166">
                  <c:v>45988</c:v>
                </c:pt>
                <c:pt idx="167">
                  <c:v>45987</c:v>
                </c:pt>
                <c:pt idx="168">
                  <c:v>45986</c:v>
                </c:pt>
                <c:pt idx="169">
                  <c:v>45985</c:v>
                </c:pt>
                <c:pt idx="170">
                  <c:v>45982</c:v>
                </c:pt>
                <c:pt idx="171">
                  <c:v>45981</c:v>
                </c:pt>
                <c:pt idx="172">
                  <c:v>45980</c:v>
                </c:pt>
                <c:pt idx="173">
                  <c:v>45979</c:v>
                </c:pt>
                <c:pt idx="174">
                  <c:v>45978</c:v>
                </c:pt>
                <c:pt idx="175">
                  <c:v>45975</c:v>
                </c:pt>
                <c:pt idx="176">
                  <c:v>45974</c:v>
                </c:pt>
                <c:pt idx="177">
                  <c:v>45973</c:v>
                </c:pt>
                <c:pt idx="178">
                  <c:v>45972</c:v>
                </c:pt>
                <c:pt idx="179">
                  <c:v>45971</c:v>
                </c:pt>
                <c:pt idx="180">
                  <c:v>45968</c:v>
                </c:pt>
                <c:pt idx="181">
                  <c:v>45967</c:v>
                </c:pt>
                <c:pt idx="182">
                  <c:v>45965</c:v>
                </c:pt>
                <c:pt idx="183">
                  <c:v>45964</c:v>
                </c:pt>
                <c:pt idx="184">
                  <c:v>45961</c:v>
                </c:pt>
                <c:pt idx="185">
                  <c:v>45960</c:v>
                </c:pt>
                <c:pt idx="186">
                  <c:v>45959</c:v>
                </c:pt>
                <c:pt idx="187">
                  <c:v>45958</c:v>
                </c:pt>
                <c:pt idx="188">
                  <c:v>45957</c:v>
                </c:pt>
                <c:pt idx="189">
                  <c:v>45954</c:v>
                </c:pt>
                <c:pt idx="190">
                  <c:v>45953</c:v>
                </c:pt>
                <c:pt idx="191">
                  <c:v>45951</c:v>
                </c:pt>
                <c:pt idx="192">
                  <c:v>45950</c:v>
                </c:pt>
                <c:pt idx="193">
                  <c:v>45947</c:v>
                </c:pt>
                <c:pt idx="194">
                  <c:v>45946</c:v>
                </c:pt>
                <c:pt idx="195">
                  <c:v>45945</c:v>
                </c:pt>
                <c:pt idx="196">
                  <c:v>45944</c:v>
                </c:pt>
                <c:pt idx="197">
                  <c:v>45943</c:v>
                </c:pt>
                <c:pt idx="198">
                  <c:v>45940</c:v>
                </c:pt>
                <c:pt idx="199">
                  <c:v>45939</c:v>
                </c:pt>
                <c:pt idx="200">
                  <c:v>45938</c:v>
                </c:pt>
                <c:pt idx="201">
                  <c:v>45937</c:v>
                </c:pt>
                <c:pt idx="202">
                  <c:v>45936</c:v>
                </c:pt>
                <c:pt idx="203">
                  <c:v>45933</c:v>
                </c:pt>
                <c:pt idx="204">
                  <c:v>45931</c:v>
                </c:pt>
                <c:pt idx="205">
                  <c:v>45930</c:v>
                </c:pt>
                <c:pt idx="206">
                  <c:v>45929</c:v>
                </c:pt>
                <c:pt idx="207">
                  <c:v>45926</c:v>
                </c:pt>
                <c:pt idx="208">
                  <c:v>45925</c:v>
                </c:pt>
                <c:pt idx="209">
                  <c:v>45924</c:v>
                </c:pt>
                <c:pt idx="210">
                  <c:v>45923</c:v>
                </c:pt>
                <c:pt idx="211">
                  <c:v>45922</c:v>
                </c:pt>
                <c:pt idx="212">
                  <c:v>45919</c:v>
                </c:pt>
                <c:pt idx="213">
                  <c:v>45918</c:v>
                </c:pt>
                <c:pt idx="214">
                  <c:v>45917</c:v>
                </c:pt>
                <c:pt idx="215">
                  <c:v>45916</c:v>
                </c:pt>
                <c:pt idx="216">
                  <c:v>45915</c:v>
                </c:pt>
                <c:pt idx="217">
                  <c:v>45912</c:v>
                </c:pt>
                <c:pt idx="218">
                  <c:v>45911</c:v>
                </c:pt>
                <c:pt idx="219">
                  <c:v>45910</c:v>
                </c:pt>
                <c:pt idx="220">
                  <c:v>45909</c:v>
                </c:pt>
                <c:pt idx="221">
                  <c:v>45908</c:v>
                </c:pt>
                <c:pt idx="222">
                  <c:v>45905</c:v>
                </c:pt>
                <c:pt idx="223">
                  <c:v>45904</c:v>
                </c:pt>
                <c:pt idx="224">
                  <c:v>45903</c:v>
                </c:pt>
                <c:pt idx="225">
                  <c:v>45902</c:v>
                </c:pt>
                <c:pt idx="226">
                  <c:v>45901</c:v>
                </c:pt>
                <c:pt idx="227">
                  <c:v>45898</c:v>
                </c:pt>
                <c:pt idx="228">
                  <c:v>45897</c:v>
                </c:pt>
                <c:pt idx="229">
                  <c:v>45895</c:v>
                </c:pt>
                <c:pt idx="230">
                  <c:v>45894</c:v>
                </c:pt>
                <c:pt idx="231">
                  <c:v>45891</c:v>
                </c:pt>
                <c:pt idx="232">
                  <c:v>45890</c:v>
                </c:pt>
                <c:pt idx="233">
                  <c:v>45889</c:v>
                </c:pt>
                <c:pt idx="234">
                  <c:v>45888</c:v>
                </c:pt>
                <c:pt idx="235">
                  <c:v>45887</c:v>
                </c:pt>
                <c:pt idx="236">
                  <c:v>45883</c:v>
                </c:pt>
                <c:pt idx="237">
                  <c:v>45882</c:v>
                </c:pt>
                <c:pt idx="238">
                  <c:v>45881</c:v>
                </c:pt>
                <c:pt idx="239">
                  <c:v>45880</c:v>
                </c:pt>
                <c:pt idx="240">
                  <c:v>45877</c:v>
                </c:pt>
                <c:pt idx="241">
                  <c:v>45876</c:v>
                </c:pt>
                <c:pt idx="242">
                  <c:v>45875</c:v>
                </c:pt>
                <c:pt idx="243">
                  <c:v>45874</c:v>
                </c:pt>
                <c:pt idx="244">
                  <c:v>45873</c:v>
                </c:pt>
                <c:pt idx="245">
                  <c:v>45870</c:v>
                </c:pt>
                <c:pt idx="246">
                  <c:v>45869</c:v>
                </c:pt>
                <c:pt idx="247">
                  <c:v>45868</c:v>
                </c:pt>
                <c:pt idx="248">
                  <c:v>45867</c:v>
                </c:pt>
                <c:pt idx="249">
                  <c:v>45866</c:v>
                </c:pt>
                <c:pt idx="250">
                  <c:v>45863</c:v>
                </c:pt>
                <c:pt idx="251">
                  <c:v>45862</c:v>
                </c:pt>
                <c:pt idx="252">
                  <c:v>45861</c:v>
                </c:pt>
                <c:pt idx="253">
                  <c:v>45860</c:v>
                </c:pt>
                <c:pt idx="254">
                  <c:v>45859</c:v>
                </c:pt>
                <c:pt idx="255">
                  <c:v>45856</c:v>
                </c:pt>
                <c:pt idx="256">
                  <c:v>45855</c:v>
                </c:pt>
                <c:pt idx="257">
                  <c:v>45854</c:v>
                </c:pt>
                <c:pt idx="258">
                  <c:v>45853</c:v>
                </c:pt>
                <c:pt idx="259">
                  <c:v>45852</c:v>
                </c:pt>
                <c:pt idx="260">
                  <c:v>45849</c:v>
                </c:pt>
                <c:pt idx="261">
                  <c:v>45848</c:v>
                </c:pt>
                <c:pt idx="262">
                  <c:v>45847</c:v>
                </c:pt>
                <c:pt idx="263">
                  <c:v>45846</c:v>
                </c:pt>
                <c:pt idx="264">
                  <c:v>45845</c:v>
                </c:pt>
                <c:pt idx="265">
                  <c:v>45842</c:v>
                </c:pt>
                <c:pt idx="266">
                  <c:v>45841</c:v>
                </c:pt>
                <c:pt idx="267">
                  <c:v>45840</c:v>
                </c:pt>
                <c:pt idx="268">
                  <c:v>45839</c:v>
                </c:pt>
                <c:pt idx="269">
                  <c:v>45838</c:v>
                </c:pt>
                <c:pt idx="270">
                  <c:v>45835</c:v>
                </c:pt>
                <c:pt idx="271">
                  <c:v>45834</c:v>
                </c:pt>
                <c:pt idx="272">
                  <c:v>45833</c:v>
                </c:pt>
                <c:pt idx="273">
                  <c:v>45832</c:v>
                </c:pt>
                <c:pt idx="274">
                  <c:v>45831</c:v>
                </c:pt>
                <c:pt idx="275">
                  <c:v>45828</c:v>
                </c:pt>
                <c:pt idx="276">
                  <c:v>45827</c:v>
                </c:pt>
                <c:pt idx="277">
                  <c:v>45826</c:v>
                </c:pt>
                <c:pt idx="278">
                  <c:v>45825</c:v>
                </c:pt>
                <c:pt idx="279">
                  <c:v>45824</c:v>
                </c:pt>
                <c:pt idx="280">
                  <c:v>45821</c:v>
                </c:pt>
                <c:pt idx="281">
                  <c:v>45820</c:v>
                </c:pt>
                <c:pt idx="282">
                  <c:v>45819</c:v>
                </c:pt>
                <c:pt idx="283">
                  <c:v>45818</c:v>
                </c:pt>
                <c:pt idx="284">
                  <c:v>45817</c:v>
                </c:pt>
                <c:pt idx="285">
                  <c:v>45814</c:v>
                </c:pt>
                <c:pt idx="286">
                  <c:v>45813</c:v>
                </c:pt>
                <c:pt idx="287">
                  <c:v>45812</c:v>
                </c:pt>
                <c:pt idx="288">
                  <c:v>45811</c:v>
                </c:pt>
                <c:pt idx="289">
                  <c:v>45810</c:v>
                </c:pt>
                <c:pt idx="290">
                  <c:v>45807</c:v>
                </c:pt>
                <c:pt idx="291">
                  <c:v>45806</c:v>
                </c:pt>
                <c:pt idx="292">
                  <c:v>45805</c:v>
                </c:pt>
                <c:pt idx="293">
                  <c:v>45804</c:v>
                </c:pt>
                <c:pt idx="294">
                  <c:v>45803</c:v>
                </c:pt>
                <c:pt idx="295">
                  <c:v>45800</c:v>
                </c:pt>
                <c:pt idx="296">
                  <c:v>45799</c:v>
                </c:pt>
                <c:pt idx="297">
                  <c:v>45798</c:v>
                </c:pt>
                <c:pt idx="298">
                  <c:v>45797</c:v>
                </c:pt>
                <c:pt idx="299">
                  <c:v>45796</c:v>
                </c:pt>
                <c:pt idx="300">
                  <c:v>45793</c:v>
                </c:pt>
                <c:pt idx="301">
                  <c:v>45792</c:v>
                </c:pt>
                <c:pt idx="302">
                  <c:v>45791</c:v>
                </c:pt>
                <c:pt idx="303">
                  <c:v>45790</c:v>
                </c:pt>
                <c:pt idx="304">
                  <c:v>45789</c:v>
                </c:pt>
                <c:pt idx="305">
                  <c:v>45786</c:v>
                </c:pt>
                <c:pt idx="306">
                  <c:v>45785</c:v>
                </c:pt>
                <c:pt idx="307">
                  <c:v>45784</c:v>
                </c:pt>
                <c:pt idx="308">
                  <c:v>45783</c:v>
                </c:pt>
                <c:pt idx="309">
                  <c:v>45782</c:v>
                </c:pt>
                <c:pt idx="310">
                  <c:v>45779</c:v>
                </c:pt>
                <c:pt idx="311">
                  <c:v>45777</c:v>
                </c:pt>
                <c:pt idx="312">
                  <c:v>45776</c:v>
                </c:pt>
                <c:pt idx="313">
                  <c:v>45775</c:v>
                </c:pt>
                <c:pt idx="314">
                  <c:v>45772</c:v>
                </c:pt>
                <c:pt idx="315">
                  <c:v>45771</c:v>
                </c:pt>
                <c:pt idx="316">
                  <c:v>45770</c:v>
                </c:pt>
                <c:pt idx="317">
                  <c:v>45769</c:v>
                </c:pt>
                <c:pt idx="318">
                  <c:v>45768</c:v>
                </c:pt>
                <c:pt idx="319">
                  <c:v>45764</c:v>
                </c:pt>
                <c:pt idx="320">
                  <c:v>45763</c:v>
                </c:pt>
                <c:pt idx="321">
                  <c:v>45762</c:v>
                </c:pt>
                <c:pt idx="322">
                  <c:v>45758</c:v>
                </c:pt>
                <c:pt idx="323">
                  <c:v>45756</c:v>
                </c:pt>
                <c:pt idx="324">
                  <c:v>45755</c:v>
                </c:pt>
                <c:pt idx="325">
                  <c:v>45754</c:v>
                </c:pt>
                <c:pt idx="326">
                  <c:v>45751</c:v>
                </c:pt>
                <c:pt idx="327">
                  <c:v>45750</c:v>
                </c:pt>
                <c:pt idx="328">
                  <c:v>45749</c:v>
                </c:pt>
                <c:pt idx="329">
                  <c:v>45748</c:v>
                </c:pt>
                <c:pt idx="330">
                  <c:v>45744</c:v>
                </c:pt>
                <c:pt idx="331">
                  <c:v>45743</c:v>
                </c:pt>
                <c:pt idx="332">
                  <c:v>45742</c:v>
                </c:pt>
                <c:pt idx="333">
                  <c:v>45741</c:v>
                </c:pt>
                <c:pt idx="334">
                  <c:v>45740</c:v>
                </c:pt>
                <c:pt idx="335">
                  <c:v>45737</c:v>
                </c:pt>
                <c:pt idx="336">
                  <c:v>45736</c:v>
                </c:pt>
                <c:pt idx="337">
                  <c:v>45735</c:v>
                </c:pt>
                <c:pt idx="338">
                  <c:v>45734</c:v>
                </c:pt>
                <c:pt idx="339">
                  <c:v>45733</c:v>
                </c:pt>
                <c:pt idx="340">
                  <c:v>45729</c:v>
                </c:pt>
                <c:pt idx="341">
                  <c:v>45728</c:v>
                </c:pt>
                <c:pt idx="342">
                  <c:v>45727</c:v>
                </c:pt>
                <c:pt idx="343">
                  <c:v>45726</c:v>
                </c:pt>
                <c:pt idx="344">
                  <c:v>45723</c:v>
                </c:pt>
                <c:pt idx="345">
                  <c:v>45722</c:v>
                </c:pt>
                <c:pt idx="346">
                  <c:v>45721</c:v>
                </c:pt>
                <c:pt idx="347">
                  <c:v>45720</c:v>
                </c:pt>
                <c:pt idx="348">
                  <c:v>45719</c:v>
                </c:pt>
                <c:pt idx="349">
                  <c:v>45716</c:v>
                </c:pt>
                <c:pt idx="350">
                  <c:v>45715</c:v>
                </c:pt>
                <c:pt idx="351">
                  <c:v>45713</c:v>
                </c:pt>
                <c:pt idx="352">
                  <c:v>45712</c:v>
                </c:pt>
                <c:pt idx="353">
                  <c:v>45709</c:v>
                </c:pt>
                <c:pt idx="354">
                  <c:v>45708</c:v>
                </c:pt>
                <c:pt idx="355">
                  <c:v>45707</c:v>
                </c:pt>
                <c:pt idx="356">
                  <c:v>45706</c:v>
                </c:pt>
                <c:pt idx="357">
                  <c:v>45705</c:v>
                </c:pt>
                <c:pt idx="358">
                  <c:v>45702</c:v>
                </c:pt>
                <c:pt idx="359">
                  <c:v>45701</c:v>
                </c:pt>
                <c:pt idx="360">
                  <c:v>45700</c:v>
                </c:pt>
                <c:pt idx="361">
                  <c:v>45699</c:v>
                </c:pt>
                <c:pt idx="362">
                  <c:v>45698</c:v>
                </c:pt>
                <c:pt idx="363">
                  <c:v>45695</c:v>
                </c:pt>
                <c:pt idx="364">
                  <c:v>45694</c:v>
                </c:pt>
                <c:pt idx="365">
                  <c:v>45693</c:v>
                </c:pt>
                <c:pt idx="366">
                  <c:v>45692</c:v>
                </c:pt>
                <c:pt idx="367">
                  <c:v>45691</c:v>
                </c:pt>
                <c:pt idx="368">
                  <c:v>45689</c:v>
                </c:pt>
                <c:pt idx="369">
                  <c:v>45688</c:v>
                </c:pt>
                <c:pt idx="370">
                  <c:v>45687</c:v>
                </c:pt>
                <c:pt idx="371">
                  <c:v>45686</c:v>
                </c:pt>
                <c:pt idx="372">
                  <c:v>45685</c:v>
                </c:pt>
                <c:pt idx="373">
                  <c:v>45684</c:v>
                </c:pt>
                <c:pt idx="374">
                  <c:v>45681</c:v>
                </c:pt>
                <c:pt idx="375">
                  <c:v>45680</c:v>
                </c:pt>
                <c:pt idx="376">
                  <c:v>45679</c:v>
                </c:pt>
                <c:pt idx="377">
                  <c:v>45678</c:v>
                </c:pt>
                <c:pt idx="378">
                  <c:v>45677</c:v>
                </c:pt>
                <c:pt idx="379">
                  <c:v>45674</c:v>
                </c:pt>
                <c:pt idx="380">
                  <c:v>45673</c:v>
                </c:pt>
                <c:pt idx="381">
                  <c:v>45672</c:v>
                </c:pt>
                <c:pt idx="382">
                  <c:v>45671</c:v>
                </c:pt>
                <c:pt idx="383">
                  <c:v>45670</c:v>
                </c:pt>
                <c:pt idx="384">
                  <c:v>45667</c:v>
                </c:pt>
                <c:pt idx="385">
                  <c:v>45666</c:v>
                </c:pt>
                <c:pt idx="386">
                  <c:v>45665</c:v>
                </c:pt>
                <c:pt idx="387">
                  <c:v>45664</c:v>
                </c:pt>
                <c:pt idx="388">
                  <c:v>45663</c:v>
                </c:pt>
                <c:pt idx="389">
                  <c:v>45660</c:v>
                </c:pt>
                <c:pt idx="390">
                  <c:v>45659</c:v>
                </c:pt>
                <c:pt idx="391">
                  <c:v>45658</c:v>
                </c:pt>
                <c:pt idx="392">
                  <c:v>45657</c:v>
                </c:pt>
                <c:pt idx="393">
                  <c:v>45656</c:v>
                </c:pt>
                <c:pt idx="394">
                  <c:v>45653</c:v>
                </c:pt>
                <c:pt idx="395">
                  <c:v>45652</c:v>
                </c:pt>
                <c:pt idx="396">
                  <c:v>45650</c:v>
                </c:pt>
                <c:pt idx="397">
                  <c:v>45649</c:v>
                </c:pt>
                <c:pt idx="398">
                  <c:v>45646</c:v>
                </c:pt>
                <c:pt idx="399">
                  <c:v>45645</c:v>
                </c:pt>
                <c:pt idx="400">
                  <c:v>45644</c:v>
                </c:pt>
                <c:pt idx="401">
                  <c:v>45643</c:v>
                </c:pt>
                <c:pt idx="402">
                  <c:v>45642</c:v>
                </c:pt>
                <c:pt idx="403">
                  <c:v>45639</c:v>
                </c:pt>
                <c:pt idx="404">
                  <c:v>45638</c:v>
                </c:pt>
                <c:pt idx="405">
                  <c:v>45637</c:v>
                </c:pt>
                <c:pt idx="406">
                  <c:v>45636</c:v>
                </c:pt>
                <c:pt idx="407">
                  <c:v>45635</c:v>
                </c:pt>
                <c:pt idx="408">
                  <c:v>45632</c:v>
                </c:pt>
                <c:pt idx="409">
                  <c:v>45631</c:v>
                </c:pt>
                <c:pt idx="410">
                  <c:v>45630</c:v>
                </c:pt>
                <c:pt idx="411">
                  <c:v>45629</c:v>
                </c:pt>
                <c:pt idx="412">
                  <c:v>45628</c:v>
                </c:pt>
                <c:pt idx="413">
                  <c:v>45625</c:v>
                </c:pt>
                <c:pt idx="414">
                  <c:v>45624</c:v>
                </c:pt>
                <c:pt idx="415">
                  <c:v>45623</c:v>
                </c:pt>
                <c:pt idx="416">
                  <c:v>45622</c:v>
                </c:pt>
                <c:pt idx="417">
                  <c:v>45621</c:v>
                </c:pt>
                <c:pt idx="418">
                  <c:v>45618</c:v>
                </c:pt>
                <c:pt idx="419">
                  <c:v>45617</c:v>
                </c:pt>
                <c:pt idx="420">
                  <c:v>45615</c:v>
                </c:pt>
                <c:pt idx="421">
                  <c:v>45614</c:v>
                </c:pt>
                <c:pt idx="422">
                  <c:v>45610</c:v>
                </c:pt>
                <c:pt idx="423">
                  <c:v>45609</c:v>
                </c:pt>
                <c:pt idx="424">
                  <c:v>45608</c:v>
                </c:pt>
                <c:pt idx="425">
                  <c:v>45607</c:v>
                </c:pt>
                <c:pt idx="426">
                  <c:v>45604</c:v>
                </c:pt>
                <c:pt idx="427">
                  <c:v>45603</c:v>
                </c:pt>
                <c:pt idx="428">
                  <c:v>45602</c:v>
                </c:pt>
                <c:pt idx="429">
                  <c:v>45601</c:v>
                </c:pt>
                <c:pt idx="430">
                  <c:v>45600</c:v>
                </c:pt>
                <c:pt idx="431">
                  <c:v>45597</c:v>
                </c:pt>
                <c:pt idx="432">
                  <c:v>45596</c:v>
                </c:pt>
                <c:pt idx="433">
                  <c:v>45595</c:v>
                </c:pt>
                <c:pt idx="434">
                  <c:v>45594</c:v>
                </c:pt>
                <c:pt idx="435">
                  <c:v>45593</c:v>
                </c:pt>
                <c:pt idx="436">
                  <c:v>45590</c:v>
                </c:pt>
                <c:pt idx="437">
                  <c:v>45589</c:v>
                </c:pt>
                <c:pt idx="438">
                  <c:v>45588</c:v>
                </c:pt>
                <c:pt idx="439">
                  <c:v>45587</c:v>
                </c:pt>
                <c:pt idx="440">
                  <c:v>45586</c:v>
                </c:pt>
                <c:pt idx="441">
                  <c:v>45583</c:v>
                </c:pt>
                <c:pt idx="442">
                  <c:v>45582</c:v>
                </c:pt>
                <c:pt idx="443">
                  <c:v>45581</c:v>
                </c:pt>
                <c:pt idx="444">
                  <c:v>45580</c:v>
                </c:pt>
                <c:pt idx="445">
                  <c:v>45579</c:v>
                </c:pt>
                <c:pt idx="446">
                  <c:v>45576</c:v>
                </c:pt>
                <c:pt idx="447">
                  <c:v>45575</c:v>
                </c:pt>
                <c:pt idx="448">
                  <c:v>45574</c:v>
                </c:pt>
                <c:pt idx="449">
                  <c:v>45573</c:v>
                </c:pt>
                <c:pt idx="450">
                  <c:v>45572</c:v>
                </c:pt>
                <c:pt idx="451">
                  <c:v>45569</c:v>
                </c:pt>
                <c:pt idx="452">
                  <c:v>45568</c:v>
                </c:pt>
                <c:pt idx="453">
                  <c:v>45566</c:v>
                </c:pt>
                <c:pt idx="454">
                  <c:v>45565</c:v>
                </c:pt>
                <c:pt idx="455">
                  <c:v>45562</c:v>
                </c:pt>
                <c:pt idx="456">
                  <c:v>45561</c:v>
                </c:pt>
                <c:pt idx="457">
                  <c:v>45560</c:v>
                </c:pt>
                <c:pt idx="458">
                  <c:v>45559</c:v>
                </c:pt>
                <c:pt idx="459">
                  <c:v>45558</c:v>
                </c:pt>
                <c:pt idx="460">
                  <c:v>45555</c:v>
                </c:pt>
                <c:pt idx="461">
                  <c:v>45554</c:v>
                </c:pt>
                <c:pt idx="462">
                  <c:v>45553</c:v>
                </c:pt>
                <c:pt idx="463">
                  <c:v>45552</c:v>
                </c:pt>
                <c:pt idx="464">
                  <c:v>45551</c:v>
                </c:pt>
                <c:pt idx="465">
                  <c:v>45548</c:v>
                </c:pt>
                <c:pt idx="466">
                  <c:v>45547</c:v>
                </c:pt>
                <c:pt idx="467">
                  <c:v>45546</c:v>
                </c:pt>
                <c:pt idx="468">
                  <c:v>45545</c:v>
                </c:pt>
                <c:pt idx="469">
                  <c:v>45544</c:v>
                </c:pt>
                <c:pt idx="470">
                  <c:v>45541</c:v>
                </c:pt>
                <c:pt idx="471">
                  <c:v>45540</c:v>
                </c:pt>
                <c:pt idx="472">
                  <c:v>45539</c:v>
                </c:pt>
                <c:pt idx="473">
                  <c:v>45538</c:v>
                </c:pt>
                <c:pt idx="474">
                  <c:v>45537</c:v>
                </c:pt>
                <c:pt idx="475">
                  <c:v>45534</c:v>
                </c:pt>
                <c:pt idx="476">
                  <c:v>45533</c:v>
                </c:pt>
                <c:pt idx="477">
                  <c:v>45532</c:v>
                </c:pt>
                <c:pt idx="478">
                  <c:v>45531</c:v>
                </c:pt>
                <c:pt idx="479">
                  <c:v>45530</c:v>
                </c:pt>
                <c:pt idx="480">
                  <c:v>45527</c:v>
                </c:pt>
                <c:pt idx="481">
                  <c:v>45526</c:v>
                </c:pt>
                <c:pt idx="482">
                  <c:v>45525</c:v>
                </c:pt>
                <c:pt idx="483">
                  <c:v>45524</c:v>
                </c:pt>
                <c:pt idx="484">
                  <c:v>45523</c:v>
                </c:pt>
                <c:pt idx="485">
                  <c:v>45520</c:v>
                </c:pt>
                <c:pt idx="486">
                  <c:v>45518</c:v>
                </c:pt>
                <c:pt idx="487">
                  <c:v>45517</c:v>
                </c:pt>
                <c:pt idx="488">
                  <c:v>45516</c:v>
                </c:pt>
                <c:pt idx="489">
                  <c:v>45513</c:v>
                </c:pt>
                <c:pt idx="490">
                  <c:v>45512</c:v>
                </c:pt>
                <c:pt idx="491">
                  <c:v>45511</c:v>
                </c:pt>
                <c:pt idx="492">
                  <c:v>45510</c:v>
                </c:pt>
                <c:pt idx="493">
                  <c:v>45509</c:v>
                </c:pt>
                <c:pt idx="494">
                  <c:v>45506</c:v>
                </c:pt>
                <c:pt idx="495">
                  <c:v>45505</c:v>
                </c:pt>
                <c:pt idx="496">
                  <c:v>45504</c:v>
                </c:pt>
                <c:pt idx="497">
                  <c:v>45503</c:v>
                </c:pt>
                <c:pt idx="498">
                  <c:v>45502</c:v>
                </c:pt>
                <c:pt idx="499">
                  <c:v>45499</c:v>
                </c:pt>
                <c:pt idx="500">
                  <c:v>45498</c:v>
                </c:pt>
                <c:pt idx="501">
                  <c:v>45497</c:v>
                </c:pt>
                <c:pt idx="502">
                  <c:v>45496</c:v>
                </c:pt>
                <c:pt idx="503">
                  <c:v>45495</c:v>
                </c:pt>
                <c:pt idx="504">
                  <c:v>45492</c:v>
                </c:pt>
                <c:pt idx="505">
                  <c:v>45491</c:v>
                </c:pt>
                <c:pt idx="506">
                  <c:v>45489</c:v>
                </c:pt>
                <c:pt idx="507">
                  <c:v>45488</c:v>
                </c:pt>
                <c:pt idx="508">
                  <c:v>45485</c:v>
                </c:pt>
                <c:pt idx="509">
                  <c:v>45484</c:v>
                </c:pt>
                <c:pt idx="510">
                  <c:v>45483</c:v>
                </c:pt>
                <c:pt idx="511">
                  <c:v>45482</c:v>
                </c:pt>
                <c:pt idx="512">
                  <c:v>45481</c:v>
                </c:pt>
                <c:pt idx="513">
                  <c:v>45478</c:v>
                </c:pt>
                <c:pt idx="514">
                  <c:v>45477</c:v>
                </c:pt>
                <c:pt idx="515">
                  <c:v>45476</c:v>
                </c:pt>
                <c:pt idx="516">
                  <c:v>45475</c:v>
                </c:pt>
                <c:pt idx="517">
                  <c:v>45474</c:v>
                </c:pt>
                <c:pt idx="518">
                  <c:v>45471</c:v>
                </c:pt>
                <c:pt idx="519">
                  <c:v>45470</c:v>
                </c:pt>
                <c:pt idx="520">
                  <c:v>45469</c:v>
                </c:pt>
                <c:pt idx="521">
                  <c:v>45468</c:v>
                </c:pt>
                <c:pt idx="522">
                  <c:v>45467</c:v>
                </c:pt>
                <c:pt idx="523">
                  <c:v>45464</c:v>
                </c:pt>
                <c:pt idx="524">
                  <c:v>45463</c:v>
                </c:pt>
                <c:pt idx="525">
                  <c:v>45462</c:v>
                </c:pt>
                <c:pt idx="526">
                  <c:v>45461</c:v>
                </c:pt>
                <c:pt idx="527">
                  <c:v>45457</c:v>
                </c:pt>
                <c:pt idx="528">
                  <c:v>45456</c:v>
                </c:pt>
                <c:pt idx="529">
                  <c:v>45455</c:v>
                </c:pt>
                <c:pt idx="530">
                  <c:v>45454</c:v>
                </c:pt>
                <c:pt idx="531">
                  <c:v>45453</c:v>
                </c:pt>
                <c:pt idx="532">
                  <c:v>45450</c:v>
                </c:pt>
                <c:pt idx="533">
                  <c:v>45449</c:v>
                </c:pt>
                <c:pt idx="534">
                  <c:v>45448</c:v>
                </c:pt>
                <c:pt idx="535">
                  <c:v>45447</c:v>
                </c:pt>
                <c:pt idx="536">
                  <c:v>45446</c:v>
                </c:pt>
                <c:pt idx="537">
                  <c:v>45443</c:v>
                </c:pt>
                <c:pt idx="538">
                  <c:v>45442</c:v>
                </c:pt>
                <c:pt idx="539">
                  <c:v>45441</c:v>
                </c:pt>
                <c:pt idx="540">
                  <c:v>45440</c:v>
                </c:pt>
                <c:pt idx="541">
                  <c:v>45439</c:v>
                </c:pt>
                <c:pt idx="542">
                  <c:v>45436</c:v>
                </c:pt>
                <c:pt idx="543">
                  <c:v>45435</c:v>
                </c:pt>
                <c:pt idx="544">
                  <c:v>45434</c:v>
                </c:pt>
                <c:pt idx="545">
                  <c:v>45433</c:v>
                </c:pt>
                <c:pt idx="546">
                  <c:v>45430</c:v>
                </c:pt>
                <c:pt idx="547">
                  <c:v>45429</c:v>
                </c:pt>
                <c:pt idx="548">
                  <c:v>45428</c:v>
                </c:pt>
                <c:pt idx="549">
                  <c:v>45427</c:v>
                </c:pt>
                <c:pt idx="550">
                  <c:v>45426</c:v>
                </c:pt>
                <c:pt idx="551">
                  <c:v>45425</c:v>
                </c:pt>
                <c:pt idx="552">
                  <c:v>45422</c:v>
                </c:pt>
                <c:pt idx="553">
                  <c:v>45421</c:v>
                </c:pt>
                <c:pt idx="554">
                  <c:v>45420</c:v>
                </c:pt>
                <c:pt idx="555">
                  <c:v>45419</c:v>
                </c:pt>
                <c:pt idx="556">
                  <c:v>45418</c:v>
                </c:pt>
                <c:pt idx="557">
                  <c:v>45415</c:v>
                </c:pt>
                <c:pt idx="558">
                  <c:v>45414</c:v>
                </c:pt>
                <c:pt idx="559">
                  <c:v>45412</c:v>
                </c:pt>
                <c:pt idx="560">
                  <c:v>45411</c:v>
                </c:pt>
                <c:pt idx="561">
                  <c:v>45408</c:v>
                </c:pt>
                <c:pt idx="562">
                  <c:v>45407</c:v>
                </c:pt>
                <c:pt idx="563">
                  <c:v>45406</c:v>
                </c:pt>
                <c:pt idx="564">
                  <c:v>45405</c:v>
                </c:pt>
                <c:pt idx="565">
                  <c:v>45404</c:v>
                </c:pt>
                <c:pt idx="566">
                  <c:v>45401</c:v>
                </c:pt>
                <c:pt idx="567">
                  <c:v>45400</c:v>
                </c:pt>
                <c:pt idx="568">
                  <c:v>45398</c:v>
                </c:pt>
                <c:pt idx="569">
                  <c:v>45397</c:v>
                </c:pt>
                <c:pt idx="570">
                  <c:v>45394</c:v>
                </c:pt>
                <c:pt idx="571">
                  <c:v>45392</c:v>
                </c:pt>
                <c:pt idx="572">
                  <c:v>45391</c:v>
                </c:pt>
                <c:pt idx="573">
                  <c:v>45390</c:v>
                </c:pt>
                <c:pt idx="574">
                  <c:v>45387</c:v>
                </c:pt>
                <c:pt idx="575">
                  <c:v>45386</c:v>
                </c:pt>
                <c:pt idx="576">
                  <c:v>45385</c:v>
                </c:pt>
                <c:pt idx="577">
                  <c:v>45384</c:v>
                </c:pt>
                <c:pt idx="578">
                  <c:v>45383</c:v>
                </c:pt>
                <c:pt idx="579">
                  <c:v>45379</c:v>
                </c:pt>
                <c:pt idx="580">
                  <c:v>45378</c:v>
                </c:pt>
                <c:pt idx="581">
                  <c:v>45377</c:v>
                </c:pt>
                <c:pt idx="582">
                  <c:v>45373</c:v>
                </c:pt>
                <c:pt idx="583">
                  <c:v>45372</c:v>
                </c:pt>
                <c:pt idx="584">
                  <c:v>45371</c:v>
                </c:pt>
                <c:pt idx="585">
                  <c:v>45370</c:v>
                </c:pt>
                <c:pt idx="586">
                  <c:v>45369</c:v>
                </c:pt>
                <c:pt idx="587">
                  <c:v>45366</c:v>
                </c:pt>
                <c:pt idx="588">
                  <c:v>45365</c:v>
                </c:pt>
                <c:pt idx="589">
                  <c:v>45364</c:v>
                </c:pt>
                <c:pt idx="590">
                  <c:v>45363</c:v>
                </c:pt>
                <c:pt idx="591">
                  <c:v>45362</c:v>
                </c:pt>
                <c:pt idx="592">
                  <c:v>45358</c:v>
                </c:pt>
                <c:pt idx="593">
                  <c:v>45357</c:v>
                </c:pt>
                <c:pt idx="594">
                  <c:v>45356</c:v>
                </c:pt>
                <c:pt idx="595">
                  <c:v>45355</c:v>
                </c:pt>
                <c:pt idx="596">
                  <c:v>45353</c:v>
                </c:pt>
                <c:pt idx="597">
                  <c:v>45352</c:v>
                </c:pt>
                <c:pt idx="598">
                  <c:v>45351</c:v>
                </c:pt>
                <c:pt idx="599">
                  <c:v>45350</c:v>
                </c:pt>
                <c:pt idx="600">
                  <c:v>45349</c:v>
                </c:pt>
                <c:pt idx="601">
                  <c:v>45348</c:v>
                </c:pt>
                <c:pt idx="602">
                  <c:v>45345</c:v>
                </c:pt>
                <c:pt idx="603">
                  <c:v>45344</c:v>
                </c:pt>
                <c:pt idx="604">
                  <c:v>45343</c:v>
                </c:pt>
                <c:pt idx="605">
                  <c:v>45342</c:v>
                </c:pt>
                <c:pt idx="606">
                  <c:v>45341</c:v>
                </c:pt>
                <c:pt idx="607">
                  <c:v>45338</c:v>
                </c:pt>
                <c:pt idx="608">
                  <c:v>45337</c:v>
                </c:pt>
                <c:pt idx="609">
                  <c:v>45336</c:v>
                </c:pt>
                <c:pt idx="610">
                  <c:v>45335</c:v>
                </c:pt>
                <c:pt idx="611">
                  <c:v>45334</c:v>
                </c:pt>
                <c:pt idx="612">
                  <c:v>45331</c:v>
                </c:pt>
                <c:pt idx="613">
                  <c:v>45330</c:v>
                </c:pt>
                <c:pt idx="614">
                  <c:v>45329</c:v>
                </c:pt>
                <c:pt idx="615">
                  <c:v>45328</c:v>
                </c:pt>
                <c:pt idx="616">
                  <c:v>45327</c:v>
                </c:pt>
                <c:pt idx="617">
                  <c:v>45324</c:v>
                </c:pt>
                <c:pt idx="618">
                  <c:v>45323</c:v>
                </c:pt>
                <c:pt idx="619">
                  <c:v>45322</c:v>
                </c:pt>
                <c:pt idx="620">
                  <c:v>45321</c:v>
                </c:pt>
                <c:pt idx="621">
                  <c:v>45320</c:v>
                </c:pt>
                <c:pt idx="622">
                  <c:v>45316</c:v>
                </c:pt>
                <c:pt idx="623">
                  <c:v>45315</c:v>
                </c:pt>
                <c:pt idx="624">
                  <c:v>45314</c:v>
                </c:pt>
                <c:pt idx="625">
                  <c:v>45311</c:v>
                </c:pt>
                <c:pt idx="626">
                  <c:v>45310</c:v>
                </c:pt>
                <c:pt idx="627">
                  <c:v>45309</c:v>
                </c:pt>
                <c:pt idx="628">
                  <c:v>45308</c:v>
                </c:pt>
                <c:pt idx="629">
                  <c:v>45307</c:v>
                </c:pt>
                <c:pt idx="630">
                  <c:v>45306</c:v>
                </c:pt>
                <c:pt idx="631">
                  <c:v>45303</c:v>
                </c:pt>
                <c:pt idx="632">
                  <c:v>45302</c:v>
                </c:pt>
                <c:pt idx="633">
                  <c:v>45301</c:v>
                </c:pt>
                <c:pt idx="634">
                  <c:v>45300</c:v>
                </c:pt>
                <c:pt idx="635">
                  <c:v>45299</c:v>
                </c:pt>
                <c:pt idx="636">
                  <c:v>45296</c:v>
                </c:pt>
                <c:pt idx="637">
                  <c:v>45295</c:v>
                </c:pt>
                <c:pt idx="638">
                  <c:v>45294</c:v>
                </c:pt>
                <c:pt idx="639">
                  <c:v>45293</c:v>
                </c:pt>
                <c:pt idx="640">
                  <c:v>45292</c:v>
                </c:pt>
                <c:pt idx="641">
                  <c:v>45289</c:v>
                </c:pt>
                <c:pt idx="642">
                  <c:v>45288</c:v>
                </c:pt>
                <c:pt idx="643">
                  <c:v>45287</c:v>
                </c:pt>
                <c:pt idx="644">
                  <c:v>45286</c:v>
                </c:pt>
                <c:pt idx="645">
                  <c:v>45282</c:v>
                </c:pt>
                <c:pt idx="646">
                  <c:v>45281</c:v>
                </c:pt>
                <c:pt idx="647">
                  <c:v>45280</c:v>
                </c:pt>
                <c:pt idx="648">
                  <c:v>45279</c:v>
                </c:pt>
                <c:pt idx="649">
                  <c:v>45278</c:v>
                </c:pt>
                <c:pt idx="650">
                  <c:v>45275</c:v>
                </c:pt>
                <c:pt idx="651">
                  <c:v>45274</c:v>
                </c:pt>
                <c:pt idx="652">
                  <c:v>45273</c:v>
                </c:pt>
                <c:pt idx="653">
                  <c:v>45272</c:v>
                </c:pt>
                <c:pt idx="654">
                  <c:v>45271</c:v>
                </c:pt>
                <c:pt idx="655">
                  <c:v>45268</c:v>
                </c:pt>
                <c:pt idx="656">
                  <c:v>45267</c:v>
                </c:pt>
                <c:pt idx="657">
                  <c:v>45266</c:v>
                </c:pt>
                <c:pt idx="658">
                  <c:v>45265</c:v>
                </c:pt>
                <c:pt idx="659">
                  <c:v>45264</c:v>
                </c:pt>
                <c:pt idx="660">
                  <c:v>45261</c:v>
                </c:pt>
                <c:pt idx="661">
                  <c:v>45260</c:v>
                </c:pt>
                <c:pt idx="662">
                  <c:v>45259</c:v>
                </c:pt>
                <c:pt idx="663">
                  <c:v>45258</c:v>
                </c:pt>
                <c:pt idx="664">
                  <c:v>45254</c:v>
                </c:pt>
                <c:pt idx="665">
                  <c:v>45253</c:v>
                </c:pt>
                <c:pt idx="666">
                  <c:v>45252</c:v>
                </c:pt>
                <c:pt idx="667">
                  <c:v>45251</c:v>
                </c:pt>
                <c:pt idx="668">
                  <c:v>45250</c:v>
                </c:pt>
                <c:pt idx="669">
                  <c:v>45247</c:v>
                </c:pt>
                <c:pt idx="670">
                  <c:v>45246</c:v>
                </c:pt>
                <c:pt idx="671">
                  <c:v>45245</c:v>
                </c:pt>
                <c:pt idx="672">
                  <c:v>45243</c:v>
                </c:pt>
                <c:pt idx="673">
                  <c:v>45242</c:v>
                </c:pt>
                <c:pt idx="674">
                  <c:v>45240</c:v>
                </c:pt>
                <c:pt idx="675">
                  <c:v>45239</c:v>
                </c:pt>
                <c:pt idx="676">
                  <c:v>45238</c:v>
                </c:pt>
                <c:pt idx="677">
                  <c:v>45237</c:v>
                </c:pt>
                <c:pt idx="678">
                  <c:v>45236</c:v>
                </c:pt>
                <c:pt idx="679">
                  <c:v>45233</c:v>
                </c:pt>
                <c:pt idx="680">
                  <c:v>45232</c:v>
                </c:pt>
                <c:pt idx="681">
                  <c:v>45231</c:v>
                </c:pt>
                <c:pt idx="682">
                  <c:v>45230</c:v>
                </c:pt>
                <c:pt idx="683">
                  <c:v>45229</c:v>
                </c:pt>
                <c:pt idx="684">
                  <c:v>45226</c:v>
                </c:pt>
                <c:pt idx="685">
                  <c:v>45225</c:v>
                </c:pt>
                <c:pt idx="686">
                  <c:v>45224</c:v>
                </c:pt>
                <c:pt idx="687">
                  <c:v>45222</c:v>
                </c:pt>
                <c:pt idx="688">
                  <c:v>45219</c:v>
                </c:pt>
                <c:pt idx="689">
                  <c:v>45218</c:v>
                </c:pt>
                <c:pt idx="690">
                  <c:v>45217</c:v>
                </c:pt>
                <c:pt idx="691">
                  <c:v>45216</c:v>
                </c:pt>
                <c:pt idx="692">
                  <c:v>45215</c:v>
                </c:pt>
                <c:pt idx="693">
                  <c:v>45212</c:v>
                </c:pt>
                <c:pt idx="694">
                  <c:v>45211</c:v>
                </c:pt>
                <c:pt idx="695">
                  <c:v>45210</c:v>
                </c:pt>
                <c:pt idx="696">
                  <c:v>45209</c:v>
                </c:pt>
                <c:pt idx="697">
                  <c:v>45208</c:v>
                </c:pt>
                <c:pt idx="698">
                  <c:v>45205</c:v>
                </c:pt>
                <c:pt idx="699">
                  <c:v>45204</c:v>
                </c:pt>
                <c:pt idx="700">
                  <c:v>45203</c:v>
                </c:pt>
                <c:pt idx="701">
                  <c:v>45202</c:v>
                </c:pt>
                <c:pt idx="702">
                  <c:v>45198</c:v>
                </c:pt>
                <c:pt idx="703">
                  <c:v>45197</c:v>
                </c:pt>
                <c:pt idx="704">
                  <c:v>45196</c:v>
                </c:pt>
                <c:pt idx="705">
                  <c:v>45195</c:v>
                </c:pt>
                <c:pt idx="706">
                  <c:v>45194</c:v>
                </c:pt>
                <c:pt idx="707">
                  <c:v>45191</c:v>
                </c:pt>
                <c:pt idx="708">
                  <c:v>45190</c:v>
                </c:pt>
                <c:pt idx="709">
                  <c:v>45189</c:v>
                </c:pt>
                <c:pt idx="710">
                  <c:v>45187</c:v>
                </c:pt>
                <c:pt idx="711">
                  <c:v>45184</c:v>
                </c:pt>
                <c:pt idx="712">
                  <c:v>45183</c:v>
                </c:pt>
                <c:pt idx="713">
                  <c:v>45182</c:v>
                </c:pt>
                <c:pt idx="714">
                  <c:v>45181</c:v>
                </c:pt>
                <c:pt idx="715">
                  <c:v>45180</c:v>
                </c:pt>
                <c:pt idx="716">
                  <c:v>45177</c:v>
                </c:pt>
                <c:pt idx="717">
                  <c:v>45176</c:v>
                </c:pt>
                <c:pt idx="718">
                  <c:v>45175</c:v>
                </c:pt>
                <c:pt idx="719">
                  <c:v>45174</c:v>
                </c:pt>
                <c:pt idx="720">
                  <c:v>45173</c:v>
                </c:pt>
                <c:pt idx="721">
                  <c:v>45170</c:v>
                </c:pt>
                <c:pt idx="722">
                  <c:v>45169</c:v>
                </c:pt>
                <c:pt idx="723">
                  <c:v>45168</c:v>
                </c:pt>
                <c:pt idx="724">
                  <c:v>45167</c:v>
                </c:pt>
                <c:pt idx="725">
                  <c:v>45166</c:v>
                </c:pt>
                <c:pt idx="726">
                  <c:v>45163</c:v>
                </c:pt>
                <c:pt idx="727">
                  <c:v>45162</c:v>
                </c:pt>
                <c:pt idx="728">
                  <c:v>45161</c:v>
                </c:pt>
                <c:pt idx="729">
                  <c:v>45160</c:v>
                </c:pt>
                <c:pt idx="730">
                  <c:v>45159</c:v>
                </c:pt>
                <c:pt idx="731">
                  <c:v>45156</c:v>
                </c:pt>
                <c:pt idx="732">
                  <c:v>45155</c:v>
                </c:pt>
                <c:pt idx="733">
                  <c:v>45154</c:v>
                </c:pt>
                <c:pt idx="734">
                  <c:v>45152</c:v>
                </c:pt>
                <c:pt idx="735">
                  <c:v>45149</c:v>
                </c:pt>
                <c:pt idx="736">
                  <c:v>45148</c:v>
                </c:pt>
                <c:pt idx="737">
                  <c:v>45147</c:v>
                </c:pt>
                <c:pt idx="738">
                  <c:v>45146</c:v>
                </c:pt>
                <c:pt idx="739">
                  <c:v>45145</c:v>
                </c:pt>
                <c:pt idx="740">
                  <c:v>45142</c:v>
                </c:pt>
                <c:pt idx="741">
                  <c:v>45141</c:v>
                </c:pt>
                <c:pt idx="742">
                  <c:v>45140</c:v>
                </c:pt>
                <c:pt idx="743">
                  <c:v>45139</c:v>
                </c:pt>
                <c:pt idx="744">
                  <c:v>45138</c:v>
                </c:pt>
                <c:pt idx="745">
                  <c:v>45135</c:v>
                </c:pt>
                <c:pt idx="746">
                  <c:v>45134</c:v>
                </c:pt>
                <c:pt idx="747">
                  <c:v>45133</c:v>
                </c:pt>
                <c:pt idx="748">
                  <c:v>45132</c:v>
                </c:pt>
                <c:pt idx="749">
                  <c:v>45131</c:v>
                </c:pt>
                <c:pt idx="750">
                  <c:v>45128</c:v>
                </c:pt>
                <c:pt idx="751">
                  <c:v>45127</c:v>
                </c:pt>
                <c:pt idx="752">
                  <c:v>45126</c:v>
                </c:pt>
                <c:pt idx="753">
                  <c:v>45125</c:v>
                </c:pt>
                <c:pt idx="754">
                  <c:v>45124</c:v>
                </c:pt>
                <c:pt idx="755">
                  <c:v>45121</c:v>
                </c:pt>
                <c:pt idx="756">
                  <c:v>45120</c:v>
                </c:pt>
                <c:pt idx="757">
                  <c:v>45119</c:v>
                </c:pt>
                <c:pt idx="758">
                  <c:v>45118</c:v>
                </c:pt>
                <c:pt idx="759">
                  <c:v>45117</c:v>
                </c:pt>
                <c:pt idx="760">
                  <c:v>45114</c:v>
                </c:pt>
                <c:pt idx="761">
                  <c:v>45113</c:v>
                </c:pt>
                <c:pt idx="762">
                  <c:v>45112</c:v>
                </c:pt>
                <c:pt idx="763">
                  <c:v>45111</c:v>
                </c:pt>
                <c:pt idx="764">
                  <c:v>45110</c:v>
                </c:pt>
                <c:pt idx="765">
                  <c:v>45107</c:v>
                </c:pt>
                <c:pt idx="766">
                  <c:v>45105</c:v>
                </c:pt>
                <c:pt idx="767">
                  <c:v>45104</c:v>
                </c:pt>
                <c:pt idx="768">
                  <c:v>45103</c:v>
                </c:pt>
                <c:pt idx="769">
                  <c:v>45100</c:v>
                </c:pt>
                <c:pt idx="770">
                  <c:v>45099</c:v>
                </c:pt>
                <c:pt idx="771">
                  <c:v>45098</c:v>
                </c:pt>
                <c:pt idx="772">
                  <c:v>45097</c:v>
                </c:pt>
                <c:pt idx="773">
                  <c:v>45096</c:v>
                </c:pt>
                <c:pt idx="774">
                  <c:v>45093</c:v>
                </c:pt>
                <c:pt idx="775">
                  <c:v>45092</c:v>
                </c:pt>
                <c:pt idx="776">
                  <c:v>45091</c:v>
                </c:pt>
                <c:pt idx="777">
                  <c:v>45090</c:v>
                </c:pt>
                <c:pt idx="778">
                  <c:v>45089</c:v>
                </c:pt>
                <c:pt idx="779">
                  <c:v>45086</c:v>
                </c:pt>
                <c:pt idx="780">
                  <c:v>45085</c:v>
                </c:pt>
                <c:pt idx="781">
                  <c:v>45084</c:v>
                </c:pt>
                <c:pt idx="782">
                  <c:v>45083</c:v>
                </c:pt>
                <c:pt idx="783">
                  <c:v>45082</c:v>
                </c:pt>
                <c:pt idx="784">
                  <c:v>45079</c:v>
                </c:pt>
                <c:pt idx="785">
                  <c:v>45078</c:v>
                </c:pt>
                <c:pt idx="786">
                  <c:v>45077</c:v>
                </c:pt>
                <c:pt idx="787">
                  <c:v>45076</c:v>
                </c:pt>
                <c:pt idx="788">
                  <c:v>45075</c:v>
                </c:pt>
                <c:pt idx="789">
                  <c:v>45072</c:v>
                </c:pt>
                <c:pt idx="790">
                  <c:v>45071</c:v>
                </c:pt>
                <c:pt idx="791">
                  <c:v>45070</c:v>
                </c:pt>
                <c:pt idx="792">
                  <c:v>45069</c:v>
                </c:pt>
                <c:pt idx="793">
                  <c:v>45068</c:v>
                </c:pt>
                <c:pt idx="794">
                  <c:v>45065</c:v>
                </c:pt>
                <c:pt idx="795">
                  <c:v>45064</c:v>
                </c:pt>
                <c:pt idx="796">
                  <c:v>45063</c:v>
                </c:pt>
                <c:pt idx="797">
                  <c:v>45062</c:v>
                </c:pt>
                <c:pt idx="798">
                  <c:v>45061</c:v>
                </c:pt>
                <c:pt idx="799">
                  <c:v>45058</c:v>
                </c:pt>
                <c:pt idx="800">
                  <c:v>45057</c:v>
                </c:pt>
                <c:pt idx="801">
                  <c:v>45056</c:v>
                </c:pt>
                <c:pt idx="802">
                  <c:v>45055</c:v>
                </c:pt>
                <c:pt idx="803">
                  <c:v>45054</c:v>
                </c:pt>
                <c:pt idx="804">
                  <c:v>45051</c:v>
                </c:pt>
                <c:pt idx="805">
                  <c:v>45050</c:v>
                </c:pt>
                <c:pt idx="806">
                  <c:v>45049</c:v>
                </c:pt>
                <c:pt idx="807">
                  <c:v>45048</c:v>
                </c:pt>
                <c:pt idx="808">
                  <c:v>45044</c:v>
                </c:pt>
                <c:pt idx="809">
                  <c:v>45043</c:v>
                </c:pt>
                <c:pt idx="810">
                  <c:v>45042</c:v>
                </c:pt>
                <c:pt idx="811">
                  <c:v>45041</c:v>
                </c:pt>
                <c:pt idx="812">
                  <c:v>45040</c:v>
                </c:pt>
                <c:pt idx="813">
                  <c:v>45037</c:v>
                </c:pt>
                <c:pt idx="814">
                  <c:v>45036</c:v>
                </c:pt>
                <c:pt idx="815">
                  <c:v>45035</c:v>
                </c:pt>
                <c:pt idx="816">
                  <c:v>45034</c:v>
                </c:pt>
                <c:pt idx="817">
                  <c:v>45033</c:v>
                </c:pt>
                <c:pt idx="818">
                  <c:v>45029</c:v>
                </c:pt>
                <c:pt idx="819">
                  <c:v>45028</c:v>
                </c:pt>
                <c:pt idx="820">
                  <c:v>45027</c:v>
                </c:pt>
                <c:pt idx="821">
                  <c:v>45026</c:v>
                </c:pt>
                <c:pt idx="822">
                  <c:v>45022</c:v>
                </c:pt>
                <c:pt idx="823">
                  <c:v>45021</c:v>
                </c:pt>
                <c:pt idx="824">
                  <c:v>45019</c:v>
                </c:pt>
                <c:pt idx="825">
                  <c:v>45016</c:v>
                </c:pt>
                <c:pt idx="826">
                  <c:v>45014</c:v>
                </c:pt>
                <c:pt idx="827">
                  <c:v>45013</c:v>
                </c:pt>
                <c:pt idx="828">
                  <c:v>45012</c:v>
                </c:pt>
                <c:pt idx="829">
                  <c:v>45009</c:v>
                </c:pt>
                <c:pt idx="830">
                  <c:v>45008</c:v>
                </c:pt>
                <c:pt idx="831">
                  <c:v>45007</c:v>
                </c:pt>
                <c:pt idx="832">
                  <c:v>45006</c:v>
                </c:pt>
                <c:pt idx="833">
                  <c:v>45005</c:v>
                </c:pt>
                <c:pt idx="834">
                  <c:v>45002</c:v>
                </c:pt>
                <c:pt idx="835">
                  <c:v>45001</c:v>
                </c:pt>
                <c:pt idx="836">
                  <c:v>45000</c:v>
                </c:pt>
                <c:pt idx="837">
                  <c:v>44999</c:v>
                </c:pt>
                <c:pt idx="838">
                  <c:v>44998</c:v>
                </c:pt>
                <c:pt idx="839">
                  <c:v>44995</c:v>
                </c:pt>
                <c:pt idx="840">
                  <c:v>44994</c:v>
                </c:pt>
                <c:pt idx="841">
                  <c:v>44993</c:v>
                </c:pt>
                <c:pt idx="842">
                  <c:v>44991</c:v>
                </c:pt>
                <c:pt idx="843">
                  <c:v>44988</c:v>
                </c:pt>
                <c:pt idx="844">
                  <c:v>44987</c:v>
                </c:pt>
                <c:pt idx="845">
                  <c:v>44986</c:v>
                </c:pt>
                <c:pt idx="846">
                  <c:v>44985</c:v>
                </c:pt>
                <c:pt idx="847">
                  <c:v>44984</c:v>
                </c:pt>
                <c:pt idx="848">
                  <c:v>44981</c:v>
                </c:pt>
                <c:pt idx="849">
                  <c:v>44980</c:v>
                </c:pt>
                <c:pt idx="850">
                  <c:v>44979</c:v>
                </c:pt>
                <c:pt idx="851">
                  <c:v>44978</c:v>
                </c:pt>
                <c:pt idx="852">
                  <c:v>44977</c:v>
                </c:pt>
                <c:pt idx="853">
                  <c:v>44974</c:v>
                </c:pt>
                <c:pt idx="854">
                  <c:v>44973</c:v>
                </c:pt>
                <c:pt idx="855">
                  <c:v>44972</c:v>
                </c:pt>
                <c:pt idx="856">
                  <c:v>44971</c:v>
                </c:pt>
                <c:pt idx="857">
                  <c:v>44970</c:v>
                </c:pt>
                <c:pt idx="858">
                  <c:v>44967</c:v>
                </c:pt>
                <c:pt idx="859">
                  <c:v>44966</c:v>
                </c:pt>
                <c:pt idx="860">
                  <c:v>44965</c:v>
                </c:pt>
                <c:pt idx="861">
                  <c:v>44964</c:v>
                </c:pt>
                <c:pt idx="862">
                  <c:v>44963</c:v>
                </c:pt>
                <c:pt idx="863">
                  <c:v>44960</c:v>
                </c:pt>
                <c:pt idx="864">
                  <c:v>44959</c:v>
                </c:pt>
                <c:pt idx="865">
                  <c:v>44958</c:v>
                </c:pt>
                <c:pt idx="866">
                  <c:v>44957</c:v>
                </c:pt>
                <c:pt idx="867">
                  <c:v>44956</c:v>
                </c:pt>
                <c:pt idx="868">
                  <c:v>44953</c:v>
                </c:pt>
                <c:pt idx="869">
                  <c:v>44951</c:v>
                </c:pt>
                <c:pt idx="870">
                  <c:v>44950</c:v>
                </c:pt>
                <c:pt idx="871">
                  <c:v>44949</c:v>
                </c:pt>
                <c:pt idx="872">
                  <c:v>44946</c:v>
                </c:pt>
                <c:pt idx="873">
                  <c:v>44945</c:v>
                </c:pt>
                <c:pt idx="874">
                  <c:v>44944</c:v>
                </c:pt>
                <c:pt idx="875">
                  <c:v>44943</c:v>
                </c:pt>
                <c:pt idx="876">
                  <c:v>44942</c:v>
                </c:pt>
                <c:pt idx="877">
                  <c:v>44939</c:v>
                </c:pt>
                <c:pt idx="878">
                  <c:v>44938</c:v>
                </c:pt>
                <c:pt idx="879">
                  <c:v>44937</c:v>
                </c:pt>
                <c:pt idx="880">
                  <c:v>44936</c:v>
                </c:pt>
                <c:pt idx="881">
                  <c:v>44935</c:v>
                </c:pt>
                <c:pt idx="882">
                  <c:v>44932</c:v>
                </c:pt>
                <c:pt idx="883">
                  <c:v>44931</c:v>
                </c:pt>
                <c:pt idx="884">
                  <c:v>44930</c:v>
                </c:pt>
                <c:pt idx="885">
                  <c:v>44929</c:v>
                </c:pt>
                <c:pt idx="886">
                  <c:v>44928</c:v>
                </c:pt>
                <c:pt idx="887">
                  <c:v>44925</c:v>
                </c:pt>
                <c:pt idx="888">
                  <c:v>44924</c:v>
                </c:pt>
                <c:pt idx="889">
                  <c:v>44923</c:v>
                </c:pt>
                <c:pt idx="890">
                  <c:v>44922</c:v>
                </c:pt>
                <c:pt idx="891">
                  <c:v>44921</c:v>
                </c:pt>
                <c:pt idx="892">
                  <c:v>44918</c:v>
                </c:pt>
                <c:pt idx="893">
                  <c:v>44917</c:v>
                </c:pt>
                <c:pt idx="894">
                  <c:v>44916</c:v>
                </c:pt>
                <c:pt idx="895">
                  <c:v>44915</c:v>
                </c:pt>
                <c:pt idx="896">
                  <c:v>44914</c:v>
                </c:pt>
                <c:pt idx="897">
                  <c:v>44911</c:v>
                </c:pt>
                <c:pt idx="898">
                  <c:v>44910</c:v>
                </c:pt>
                <c:pt idx="899">
                  <c:v>44909</c:v>
                </c:pt>
                <c:pt idx="900">
                  <c:v>44908</c:v>
                </c:pt>
                <c:pt idx="901">
                  <c:v>44907</c:v>
                </c:pt>
                <c:pt idx="902">
                  <c:v>44904</c:v>
                </c:pt>
                <c:pt idx="903">
                  <c:v>44903</c:v>
                </c:pt>
                <c:pt idx="904">
                  <c:v>44902</c:v>
                </c:pt>
                <c:pt idx="905">
                  <c:v>44901</c:v>
                </c:pt>
                <c:pt idx="906">
                  <c:v>44900</c:v>
                </c:pt>
                <c:pt idx="907">
                  <c:v>44897</c:v>
                </c:pt>
                <c:pt idx="908">
                  <c:v>44896</c:v>
                </c:pt>
                <c:pt idx="909">
                  <c:v>44895</c:v>
                </c:pt>
                <c:pt idx="910">
                  <c:v>44894</c:v>
                </c:pt>
                <c:pt idx="911">
                  <c:v>44893</c:v>
                </c:pt>
                <c:pt idx="912">
                  <c:v>44890</c:v>
                </c:pt>
                <c:pt idx="913">
                  <c:v>44889</c:v>
                </c:pt>
                <c:pt idx="914">
                  <c:v>44888</c:v>
                </c:pt>
                <c:pt idx="915">
                  <c:v>44887</c:v>
                </c:pt>
                <c:pt idx="916">
                  <c:v>44886</c:v>
                </c:pt>
                <c:pt idx="917">
                  <c:v>44883</c:v>
                </c:pt>
                <c:pt idx="918">
                  <c:v>44882</c:v>
                </c:pt>
                <c:pt idx="919">
                  <c:v>44881</c:v>
                </c:pt>
                <c:pt idx="920">
                  <c:v>44880</c:v>
                </c:pt>
                <c:pt idx="921">
                  <c:v>44879</c:v>
                </c:pt>
                <c:pt idx="922">
                  <c:v>44876</c:v>
                </c:pt>
                <c:pt idx="923">
                  <c:v>44875</c:v>
                </c:pt>
                <c:pt idx="924">
                  <c:v>44874</c:v>
                </c:pt>
                <c:pt idx="925">
                  <c:v>44872</c:v>
                </c:pt>
                <c:pt idx="926">
                  <c:v>44869</c:v>
                </c:pt>
                <c:pt idx="927">
                  <c:v>44868</c:v>
                </c:pt>
                <c:pt idx="928">
                  <c:v>44867</c:v>
                </c:pt>
                <c:pt idx="929">
                  <c:v>44866</c:v>
                </c:pt>
                <c:pt idx="930">
                  <c:v>44865</c:v>
                </c:pt>
                <c:pt idx="931">
                  <c:v>44862</c:v>
                </c:pt>
                <c:pt idx="932">
                  <c:v>44861</c:v>
                </c:pt>
                <c:pt idx="933">
                  <c:v>44859</c:v>
                </c:pt>
                <c:pt idx="934">
                  <c:v>44858</c:v>
                </c:pt>
                <c:pt idx="935">
                  <c:v>44855</c:v>
                </c:pt>
                <c:pt idx="936">
                  <c:v>44854</c:v>
                </c:pt>
                <c:pt idx="937">
                  <c:v>44853</c:v>
                </c:pt>
                <c:pt idx="938">
                  <c:v>44852</c:v>
                </c:pt>
                <c:pt idx="939">
                  <c:v>44851</c:v>
                </c:pt>
                <c:pt idx="940">
                  <c:v>44848</c:v>
                </c:pt>
                <c:pt idx="941">
                  <c:v>44847</c:v>
                </c:pt>
                <c:pt idx="942">
                  <c:v>44846</c:v>
                </c:pt>
                <c:pt idx="943">
                  <c:v>44845</c:v>
                </c:pt>
                <c:pt idx="944">
                  <c:v>44844</c:v>
                </c:pt>
                <c:pt idx="945">
                  <c:v>44841</c:v>
                </c:pt>
                <c:pt idx="946">
                  <c:v>44840</c:v>
                </c:pt>
                <c:pt idx="947">
                  <c:v>44838</c:v>
                </c:pt>
                <c:pt idx="948">
                  <c:v>44837</c:v>
                </c:pt>
                <c:pt idx="949">
                  <c:v>44834</c:v>
                </c:pt>
                <c:pt idx="950">
                  <c:v>44833</c:v>
                </c:pt>
                <c:pt idx="951">
                  <c:v>44832</c:v>
                </c:pt>
                <c:pt idx="952">
                  <c:v>44831</c:v>
                </c:pt>
                <c:pt idx="953">
                  <c:v>44830</c:v>
                </c:pt>
                <c:pt idx="954">
                  <c:v>44827</c:v>
                </c:pt>
                <c:pt idx="955">
                  <c:v>44826</c:v>
                </c:pt>
                <c:pt idx="956">
                  <c:v>44825</c:v>
                </c:pt>
                <c:pt idx="957">
                  <c:v>44824</c:v>
                </c:pt>
                <c:pt idx="958">
                  <c:v>44823</c:v>
                </c:pt>
                <c:pt idx="959">
                  <c:v>44820</c:v>
                </c:pt>
                <c:pt idx="960">
                  <c:v>44819</c:v>
                </c:pt>
                <c:pt idx="961">
                  <c:v>44818</c:v>
                </c:pt>
                <c:pt idx="962">
                  <c:v>44817</c:v>
                </c:pt>
                <c:pt idx="963">
                  <c:v>44816</c:v>
                </c:pt>
                <c:pt idx="964">
                  <c:v>44813</c:v>
                </c:pt>
                <c:pt idx="965">
                  <c:v>44812</c:v>
                </c:pt>
                <c:pt idx="966">
                  <c:v>44811</c:v>
                </c:pt>
                <c:pt idx="967">
                  <c:v>44810</c:v>
                </c:pt>
                <c:pt idx="968">
                  <c:v>44809</c:v>
                </c:pt>
                <c:pt idx="969">
                  <c:v>44806</c:v>
                </c:pt>
                <c:pt idx="970">
                  <c:v>44805</c:v>
                </c:pt>
                <c:pt idx="971">
                  <c:v>44803</c:v>
                </c:pt>
                <c:pt idx="972">
                  <c:v>44802</c:v>
                </c:pt>
                <c:pt idx="973">
                  <c:v>44799</c:v>
                </c:pt>
                <c:pt idx="974">
                  <c:v>44798</c:v>
                </c:pt>
                <c:pt idx="975">
                  <c:v>44797</c:v>
                </c:pt>
                <c:pt idx="976">
                  <c:v>44796</c:v>
                </c:pt>
                <c:pt idx="977">
                  <c:v>44795</c:v>
                </c:pt>
                <c:pt idx="978">
                  <c:v>44792</c:v>
                </c:pt>
                <c:pt idx="979">
                  <c:v>44791</c:v>
                </c:pt>
                <c:pt idx="980">
                  <c:v>44790</c:v>
                </c:pt>
                <c:pt idx="981">
                  <c:v>44789</c:v>
                </c:pt>
                <c:pt idx="982">
                  <c:v>44785</c:v>
                </c:pt>
                <c:pt idx="983">
                  <c:v>44784</c:v>
                </c:pt>
                <c:pt idx="984">
                  <c:v>44783</c:v>
                </c:pt>
                <c:pt idx="985">
                  <c:v>44781</c:v>
                </c:pt>
                <c:pt idx="986">
                  <c:v>44778</c:v>
                </c:pt>
                <c:pt idx="987">
                  <c:v>44777</c:v>
                </c:pt>
                <c:pt idx="988">
                  <c:v>44776</c:v>
                </c:pt>
                <c:pt idx="989">
                  <c:v>44775</c:v>
                </c:pt>
              </c:numCache>
            </c:numRef>
          </c:cat>
          <c:val>
            <c:numRef>
              <c:f>Sheet3!$B$2:$B$991</c:f>
              <c:numCache>
                <c:formatCode>General</c:formatCode>
                <c:ptCount val="990"/>
                <c:pt idx="0">
                  <c:v>189.69</c:v>
                </c:pt>
                <c:pt idx="1">
                  <c:v>186.92</c:v>
                </c:pt>
                <c:pt idx="2">
                  <c:v>187.27</c:v>
                </c:pt>
                <c:pt idx="3">
                  <c:v>182.63</c:v>
                </c:pt>
                <c:pt idx="4">
                  <c:v>184.25</c:v>
                </c:pt>
                <c:pt idx="5">
                  <c:v>182.67</c:v>
                </c:pt>
                <c:pt idx="6">
                  <c:v>184.23</c:v>
                </c:pt>
                <c:pt idx="7">
                  <c:v>186.53</c:v>
                </c:pt>
                <c:pt idx="8">
                  <c:v>187.24</c:v>
                </c:pt>
                <c:pt idx="9">
                  <c:v>186.41</c:v>
                </c:pt>
                <c:pt idx="10">
                  <c:v>185.89</c:v>
                </c:pt>
                <c:pt idx="11">
                  <c:v>185.49</c:v>
                </c:pt>
                <c:pt idx="12">
                  <c:v>185.26</c:v>
                </c:pt>
                <c:pt idx="13">
                  <c:v>188.27</c:v>
                </c:pt>
                <c:pt idx="14">
                  <c:v>187.11</c:v>
                </c:pt>
                <c:pt idx="15">
                  <c:v>191.19</c:v>
                </c:pt>
                <c:pt idx="16">
                  <c:v>187.91</c:v>
                </c:pt>
                <c:pt idx="17">
                  <c:v>188.2</c:v>
                </c:pt>
                <c:pt idx="18">
                  <c:v>189.79</c:v>
                </c:pt>
                <c:pt idx="19">
                  <c:v>190.87</c:v>
                </c:pt>
                <c:pt idx="20">
                  <c:v>189.8</c:v>
                </c:pt>
                <c:pt idx="21">
                  <c:v>187.67</c:v>
                </c:pt>
                <c:pt idx="22">
                  <c:v>185.17</c:v>
                </c:pt>
                <c:pt idx="23">
                  <c:v>188.06</c:v>
                </c:pt>
                <c:pt idx="24">
                  <c:v>189.57</c:v>
                </c:pt>
                <c:pt idx="25">
                  <c:v>188.71</c:v>
                </c:pt>
                <c:pt idx="26">
                  <c:v>190.16</c:v>
                </c:pt>
                <c:pt idx="27">
                  <c:v>193.56</c:v>
                </c:pt>
                <c:pt idx="28">
                  <c:v>198.97</c:v>
                </c:pt>
                <c:pt idx="29">
                  <c:v>198.96</c:v>
                </c:pt>
                <c:pt idx="30">
                  <c:v>200.52</c:v>
                </c:pt>
                <c:pt idx="31">
                  <c:v>199.01</c:v>
                </c:pt>
                <c:pt idx="32">
                  <c:v>196</c:v>
                </c:pt>
                <c:pt idx="33">
                  <c:v>197.28</c:v>
                </c:pt>
                <c:pt idx="34">
                  <c:v>197.86</c:v>
                </c:pt>
                <c:pt idx="35">
                  <c:v>197.96</c:v>
                </c:pt>
                <c:pt idx="36">
                  <c:v>199.31</c:v>
                </c:pt>
                <c:pt idx="37">
                  <c:v>203.18</c:v>
                </c:pt>
                <c:pt idx="38">
                  <c:v>202.72</c:v>
                </c:pt>
                <c:pt idx="39">
                  <c:v>206.77</c:v>
                </c:pt>
                <c:pt idx="40">
                  <c:v>210.57</c:v>
                </c:pt>
                <c:pt idx="41">
                  <c:v>211.89</c:v>
                </c:pt>
                <c:pt idx="42">
                  <c:v>210.6</c:v>
                </c:pt>
                <c:pt idx="43">
                  <c:v>210.57</c:v>
                </c:pt>
                <c:pt idx="44">
                  <c:v>208.02</c:v>
                </c:pt>
                <c:pt idx="45">
                  <c:v>214.7</c:v>
                </c:pt>
                <c:pt idx="46">
                  <c:v>210.47</c:v>
                </c:pt>
                <c:pt idx="47">
                  <c:v>210.22</c:v>
                </c:pt>
                <c:pt idx="48">
                  <c:v>209.19</c:v>
                </c:pt>
                <c:pt idx="49">
                  <c:v>208.58</c:v>
                </c:pt>
                <c:pt idx="50">
                  <c:v>207.01</c:v>
                </c:pt>
                <c:pt idx="51">
                  <c:v>209.29</c:v>
                </c:pt>
                <c:pt idx="52">
                  <c:v>209.71</c:v>
                </c:pt>
                <c:pt idx="53">
                  <c:v>216.84</c:v>
                </c:pt>
                <c:pt idx="54">
                  <c:v>221.13</c:v>
                </c:pt>
                <c:pt idx="55">
                  <c:v>219.62</c:v>
                </c:pt>
                <c:pt idx="56">
                  <c:v>212</c:v>
                </c:pt>
                <c:pt idx="57">
                  <c:v>212.08</c:v>
                </c:pt>
                <c:pt idx="58">
                  <c:v>214.49</c:v>
                </c:pt>
                <c:pt idx="59">
                  <c:v>217.09</c:v>
                </c:pt>
                <c:pt idx="60">
                  <c:v>215.47</c:v>
                </c:pt>
                <c:pt idx="61">
                  <c:v>211.32</c:v>
                </c:pt>
                <c:pt idx="62">
                  <c:v>212.24</c:v>
                </c:pt>
                <c:pt idx="63">
                  <c:v>211.36</c:v>
                </c:pt>
                <c:pt idx="64">
                  <c:v>215.88</c:v>
                </c:pt>
                <c:pt idx="65">
                  <c:v>215.05</c:v>
                </c:pt>
                <c:pt idx="66">
                  <c:v>213.27</c:v>
                </c:pt>
                <c:pt idx="67">
                  <c:v>210.07</c:v>
                </c:pt>
                <c:pt idx="68">
                  <c:v>210.91</c:v>
                </c:pt>
                <c:pt idx="69">
                  <c:v>213.03</c:v>
                </c:pt>
                <c:pt idx="70">
                  <c:v>212.01</c:v>
                </c:pt>
                <c:pt idx="71">
                  <c:v>211.72</c:v>
                </c:pt>
                <c:pt idx="72">
                  <c:v>212.12</c:v>
                </c:pt>
                <c:pt idx="73">
                  <c:v>210.69</c:v>
                </c:pt>
                <c:pt idx="74">
                  <c:v>208.72</c:v>
                </c:pt>
                <c:pt idx="75">
                  <c:v>206.39</c:v>
                </c:pt>
                <c:pt idx="76">
                  <c:v>206.61</c:v>
                </c:pt>
                <c:pt idx="77">
                  <c:v>205.2</c:v>
                </c:pt>
                <c:pt idx="78">
                  <c:v>204.18</c:v>
                </c:pt>
                <c:pt idx="79">
                  <c:v>198.13</c:v>
                </c:pt>
                <c:pt idx="80">
                  <c:v>196.1</c:v>
                </c:pt>
                <c:pt idx="81">
                  <c:v>194.14</c:v>
                </c:pt>
                <c:pt idx="82">
                  <c:v>194.6</c:v>
                </c:pt>
                <c:pt idx="83">
                  <c:v>191.86</c:v>
                </c:pt>
                <c:pt idx="84">
                  <c:v>193.22</c:v>
                </c:pt>
                <c:pt idx="85">
                  <c:v>196.65</c:v>
                </c:pt>
                <c:pt idx="86">
                  <c:v>190.79</c:v>
                </c:pt>
                <c:pt idx="87">
                  <c:v>187.17</c:v>
                </c:pt>
                <c:pt idx="88">
                  <c:v>196.77</c:v>
                </c:pt>
                <c:pt idx="89">
                  <c:v>190.51</c:v>
                </c:pt>
                <c:pt idx="90">
                  <c:v>195.41</c:v>
                </c:pt>
                <c:pt idx="91">
                  <c:v>195.43</c:v>
                </c:pt>
                <c:pt idx="92">
                  <c:v>186.94</c:v>
                </c:pt>
                <c:pt idx="93">
                  <c:v>183.51</c:v>
                </c:pt>
                <c:pt idx="94">
                  <c:v>193.47</c:v>
                </c:pt>
                <c:pt idx="95">
                  <c:v>194.74</c:v>
                </c:pt>
                <c:pt idx="96">
                  <c:v>195</c:v>
                </c:pt>
                <c:pt idx="97">
                  <c:v>191.01</c:v>
                </c:pt>
                <c:pt idx="98">
                  <c:v>198.46</c:v>
                </c:pt>
                <c:pt idx="99">
                  <c:v>200.57</c:v>
                </c:pt>
                <c:pt idx="100">
                  <c:v>196.73</c:v>
                </c:pt>
                <c:pt idx="101">
                  <c:v>211.01</c:v>
                </c:pt>
                <c:pt idx="102">
                  <c:v>212.33</c:v>
                </c:pt>
                <c:pt idx="103">
                  <c:v>215.52</c:v>
                </c:pt>
                <c:pt idx="104">
                  <c:v>214.64</c:v>
                </c:pt>
                <c:pt idx="105">
                  <c:v>209.13</c:v>
                </c:pt>
                <c:pt idx="106">
                  <c:v>208.14</c:v>
                </c:pt>
                <c:pt idx="107">
                  <c:v>208.36</c:v>
                </c:pt>
                <c:pt idx="108">
                  <c:v>205.41</c:v>
                </c:pt>
                <c:pt idx="109">
                  <c:v>209.03</c:v>
                </c:pt>
                <c:pt idx="110">
                  <c:v>203.08</c:v>
                </c:pt>
                <c:pt idx="111">
                  <c:v>205.81</c:v>
                </c:pt>
                <c:pt idx="112">
                  <c:v>203.18</c:v>
                </c:pt>
                <c:pt idx="113">
                  <c:v>208.11</c:v>
                </c:pt>
                <c:pt idx="114">
                  <c:v>207.59</c:v>
                </c:pt>
                <c:pt idx="115">
                  <c:v>208.01</c:v>
                </c:pt>
                <c:pt idx="116">
                  <c:v>202</c:v>
                </c:pt>
                <c:pt idx="117">
                  <c:v>197.06</c:v>
                </c:pt>
                <c:pt idx="118">
                  <c:v>197.76</c:v>
                </c:pt>
                <c:pt idx="119">
                  <c:v>195.4</c:v>
                </c:pt>
                <c:pt idx="120">
                  <c:v>192.93</c:v>
                </c:pt>
                <c:pt idx="121">
                  <c:v>188.51</c:v>
                </c:pt>
                <c:pt idx="122">
                  <c:v>185.38</c:v>
                </c:pt>
                <c:pt idx="123">
                  <c:v>193.13</c:v>
                </c:pt>
                <c:pt idx="124">
                  <c:v>202.32</c:v>
                </c:pt>
                <c:pt idx="125">
                  <c:v>193.85</c:v>
                </c:pt>
                <c:pt idx="126">
                  <c:v>192.28</c:v>
                </c:pt>
                <c:pt idx="127">
                  <c:v>187.61</c:v>
                </c:pt>
                <c:pt idx="128">
                  <c:v>189.1</c:v>
                </c:pt>
                <c:pt idx="129">
                  <c:v>184.41</c:v>
                </c:pt>
                <c:pt idx="130">
                  <c:v>183.56</c:v>
                </c:pt>
                <c:pt idx="131">
                  <c:v>188.27</c:v>
                </c:pt>
                <c:pt idx="132">
                  <c:v>188.21</c:v>
                </c:pt>
                <c:pt idx="133">
                  <c:v>189.25</c:v>
                </c:pt>
                <c:pt idx="134">
                  <c:v>182.57</c:v>
                </c:pt>
                <c:pt idx="135">
                  <c:v>183.24</c:v>
                </c:pt>
                <c:pt idx="136">
                  <c:v>178.4</c:v>
                </c:pt>
                <c:pt idx="137">
                  <c:v>180.12</c:v>
                </c:pt>
                <c:pt idx="138">
                  <c:v>183.8</c:v>
                </c:pt>
                <c:pt idx="139">
                  <c:v>186.2</c:v>
                </c:pt>
                <c:pt idx="140">
                  <c:v>185.72</c:v>
                </c:pt>
                <c:pt idx="141">
                  <c:v>182.88</c:v>
                </c:pt>
                <c:pt idx="142">
                  <c:v>181.89</c:v>
                </c:pt>
                <c:pt idx="143">
                  <c:v>180.08</c:v>
                </c:pt>
                <c:pt idx="144">
                  <c:v>175.8</c:v>
                </c:pt>
                <c:pt idx="145">
                  <c:v>172.3</c:v>
                </c:pt>
                <c:pt idx="146">
                  <c:v>169.12</c:v>
                </c:pt>
                <c:pt idx="147">
                  <c:v>170.07</c:v>
                </c:pt>
                <c:pt idx="148">
                  <c:v>170.9</c:v>
                </c:pt>
                <c:pt idx="149">
                  <c:v>169.22</c:v>
                </c:pt>
                <c:pt idx="150">
                  <c:v>168.69</c:v>
                </c:pt>
                <c:pt idx="151">
                  <c:v>168.12</c:v>
                </c:pt>
                <c:pt idx="152">
                  <c:v>170.34</c:v>
                </c:pt>
                <c:pt idx="153">
                  <c:v>169.83</c:v>
                </c:pt>
                <c:pt idx="154">
                  <c:v>172.87</c:v>
                </c:pt>
                <c:pt idx="155">
                  <c:v>171.89</c:v>
                </c:pt>
                <c:pt idx="156">
                  <c:v>166.38</c:v>
                </c:pt>
                <c:pt idx="157">
                  <c:v>162.22999999999999</c:v>
                </c:pt>
                <c:pt idx="158">
                  <c:v>160.66999999999999</c:v>
                </c:pt>
                <c:pt idx="159">
                  <c:v>163.47</c:v>
                </c:pt>
                <c:pt idx="160">
                  <c:v>167.11</c:v>
                </c:pt>
                <c:pt idx="161">
                  <c:v>166.77</c:v>
                </c:pt>
                <c:pt idx="162">
                  <c:v>166.92</c:v>
                </c:pt>
                <c:pt idx="163">
                  <c:v>167.78</c:v>
                </c:pt>
                <c:pt idx="164">
                  <c:v>168.63</c:v>
                </c:pt>
                <c:pt idx="165">
                  <c:v>167.96</c:v>
                </c:pt>
                <c:pt idx="166">
                  <c:v>168.13</c:v>
                </c:pt>
                <c:pt idx="167">
                  <c:v>169.67</c:v>
                </c:pt>
                <c:pt idx="168">
                  <c:v>166.33</c:v>
                </c:pt>
                <c:pt idx="169">
                  <c:v>165.36</c:v>
                </c:pt>
                <c:pt idx="170">
                  <c:v>168</c:v>
                </c:pt>
                <c:pt idx="171">
                  <c:v>172.46</c:v>
                </c:pt>
                <c:pt idx="172">
                  <c:v>173.21</c:v>
                </c:pt>
                <c:pt idx="173">
                  <c:v>172.45</c:v>
                </c:pt>
                <c:pt idx="174">
                  <c:v>173.17</c:v>
                </c:pt>
                <c:pt idx="175">
                  <c:v>174.26</c:v>
                </c:pt>
                <c:pt idx="176">
                  <c:v>176.65</c:v>
                </c:pt>
                <c:pt idx="177">
                  <c:v>178.61</c:v>
                </c:pt>
                <c:pt idx="178">
                  <c:v>181.04</c:v>
                </c:pt>
                <c:pt idx="179">
                  <c:v>181.48</c:v>
                </c:pt>
                <c:pt idx="180">
                  <c:v>181.37</c:v>
                </c:pt>
                <c:pt idx="181">
                  <c:v>177.27</c:v>
                </c:pt>
                <c:pt idx="182">
                  <c:v>179.29</c:v>
                </c:pt>
                <c:pt idx="183">
                  <c:v>182.67</c:v>
                </c:pt>
                <c:pt idx="184">
                  <c:v>182.84</c:v>
                </c:pt>
                <c:pt idx="185">
                  <c:v>184.35</c:v>
                </c:pt>
                <c:pt idx="186">
                  <c:v>185.19</c:v>
                </c:pt>
                <c:pt idx="187">
                  <c:v>181.81</c:v>
                </c:pt>
                <c:pt idx="188">
                  <c:v>176.66</c:v>
                </c:pt>
                <c:pt idx="189">
                  <c:v>174.44</c:v>
                </c:pt>
                <c:pt idx="190">
                  <c:v>174.16</c:v>
                </c:pt>
                <c:pt idx="191">
                  <c:v>172.78</c:v>
                </c:pt>
                <c:pt idx="192">
                  <c:v>171.95</c:v>
                </c:pt>
                <c:pt idx="193">
                  <c:v>172.22</c:v>
                </c:pt>
                <c:pt idx="194">
                  <c:v>174</c:v>
                </c:pt>
                <c:pt idx="195">
                  <c:v>173.24</c:v>
                </c:pt>
                <c:pt idx="196">
                  <c:v>170.51</c:v>
                </c:pt>
                <c:pt idx="197">
                  <c:v>173.03</c:v>
                </c:pt>
                <c:pt idx="198">
                  <c:v>173.86</c:v>
                </c:pt>
                <c:pt idx="199">
                  <c:v>176.42</c:v>
                </c:pt>
                <c:pt idx="200">
                  <c:v>171.94</c:v>
                </c:pt>
                <c:pt idx="201">
                  <c:v>171.43</c:v>
                </c:pt>
                <c:pt idx="202">
                  <c:v>170.06</c:v>
                </c:pt>
                <c:pt idx="203">
                  <c:v>173.21</c:v>
                </c:pt>
                <c:pt idx="204">
                  <c:v>167.51</c:v>
                </c:pt>
                <c:pt idx="205">
                  <c:v>168.77</c:v>
                </c:pt>
                <c:pt idx="206">
                  <c:v>168.98</c:v>
                </c:pt>
                <c:pt idx="207">
                  <c:v>167.4</c:v>
                </c:pt>
                <c:pt idx="208">
                  <c:v>172.38</c:v>
                </c:pt>
                <c:pt idx="209">
                  <c:v>172.66</c:v>
                </c:pt>
                <c:pt idx="210">
                  <c:v>173.29</c:v>
                </c:pt>
                <c:pt idx="211">
                  <c:v>171.39</c:v>
                </c:pt>
                <c:pt idx="212">
                  <c:v>171.48</c:v>
                </c:pt>
                <c:pt idx="213">
                  <c:v>172.03</c:v>
                </c:pt>
                <c:pt idx="214">
                  <c:v>171.36</c:v>
                </c:pt>
                <c:pt idx="215">
                  <c:v>172.02</c:v>
                </c:pt>
                <c:pt idx="216">
                  <c:v>169.23</c:v>
                </c:pt>
                <c:pt idx="217">
                  <c:v>169.78</c:v>
                </c:pt>
                <c:pt idx="218">
                  <c:v>169.41</c:v>
                </c:pt>
                <c:pt idx="219">
                  <c:v>169.43</c:v>
                </c:pt>
                <c:pt idx="220">
                  <c:v>169.15</c:v>
                </c:pt>
                <c:pt idx="221">
                  <c:v>168.82</c:v>
                </c:pt>
                <c:pt idx="222">
                  <c:v>167.68</c:v>
                </c:pt>
                <c:pt idx="223">
                  <c:v>166.81</c:v>
                </c:pt>
                <c:pt idx="224">
                  <c:v>167.85</c:v>
                </c:pt>
                <c:pt idx="225">
                  <c:v>158.38999999999999</c:v>
                </c:pt>
                <c:pt idx="226">
                  <c:v>156.16999999999999</c:v>
                </c:pt>
                <c:pt idx="227">
                  <c:v>154.47999999999999</c:v>
                </c:pt>
                <c:pt idx="228">
                  <c:v>153.63</c:v>
                </c:pt>
                <c:pt idx="229">
                  <c:v>155.03</c:v>
                </c:pt>
                <c:pt idx="230">
                  <c:v>159.63</c:v>
                </c:pt>
                <c:pt idx="231">
                  <c:v>158.55000000000001</c:v>
                </c:pt>
                <c:pt idx="232">
                  <c:v>161.51</c:v>
                </c:pt>
                <c:pt idx="233">
                  <c:v>161.91999999999999</c:v>
                </c:pt>
                <c:pt idx="234">
                  <c:v>159.22999999999999</c:v>
                </c:pt>
                <c:pt idx="235">
                  <c:v>157.96</c:v>
                </c:pt>
                <c:pt idx="236">
                  <c:v>155.30000000000001</c:v>
                </c:pt>
                <c:pt idx="237">
                  <c:v>160.18</c:v>
                </c:pt>
                <c:pt idx="238">
                  <c:v>160.16</c:v>
                </c:pt>
                <c:pt idx="239">
                  <c:v>158.52000000000001</c:v>
                </c:pt>
                <c:pt idx="240">
                  <c:v>157.94999999999999</c:v>
                </c:pt>
                <c:pt idx="241">
                  <c:v>159.66999999999999</c:v>
                </c:pt>
                <c:pt idx="242">
                  <c:v>158.66</c:v>
                </c:pt>
                <c:pt idx="243">
                  <c:v>159.62</c:v>
                </c:pt>
                <c:pt idx="244">
                  <c:v>159.56</c:v>
                </c:pt>
                <c:pt idx="245">
                  <c:v>153.01</c:v>
                </c:pt>
                <c:pt idx="246">
                  <c:v>157.94</c:v>
                </c:pt>
                <c:pt idx="247">
                  <c:v>161.36000000000001</c:v>
                </c:pt>
                <c:pt idx="248">
                  <c:v>161.69</c:v>
                </c:pt>
                <c:pt idx="249">
                  <c:v>159.68</c:v>
                </c:pt>
                <c:pt idx="250">
                  <c:v>161.43</c:v>
                </c:pt>
                <c:pt idx="251">
                  <c:v>163.47999999999999</c:v>
                </c:pt>
                <c:pt idx="252">
                  <c:v>162.77000000000001</c:v>
                </c:pt>
                <c:pt idx="253">
                  <c:v>163.04</c:v>
                </c:pt>
                <c:pt idx="254">
                  <c:v>163.02000000000001</c:v>
                </c:pt>
                <c:pt idx="255">
                  <c:v>162.37</c:v>
                </c:pt>
                <c:pt idx="256">
                  <c:v>159.9</c:v>
                </c:pt>
                <c:pt idx="257">
                  <c:v>157.33000000000001</c:v>
                </c:pt>
                <c:pt idx="258">
                  <c:v>159</c:v>
                </c:pt>
                <c:pt idx="259">
                  <c:v>160.44</c:v>
                </c:pt>
                <c:pt idx="260">
                  <c:v>159.84</c:v>
                </c:pt>
                <c:pt idx="261">
                  <c:v>160.66</c:v>
                </c:pt>
                <c:pt idx="262">
                  <c:v>159</c:v>
                </c:pt>
                <c:pt idx="263">
                  <c:v>161.97</c:v>
                </c:pt>
                <c:pt idx="264">
                  <c:v>162.4</c:v>
                </c:pt>
                <c:pt idx="265">
                  <c:v>163.01</c:v>
                </c:pt>
                <c:pt idx="266">
                  <c:v>165.91</c:v>
                </c:pt>
                <c:pt idx="267">
                  <c:v>165.88</c:v>
                </c:pt>
                <c:pt idx="268">
                  <c:v>160.06</c:v>
                </c:pt>
                <c:pt idx="269">
                  <c:v>159.76</c:v>
                </c:pt>
                <c:pt idx="270">
                  <c:v>161.44999999999999</c:v>
                </c:pt>
                <c:pt idx="271">
                  <c:v>160.54</c:v>
                </c:pt>
                <c:pt idx="272">
                  <c:v>156.38999999999999</c:v>
                </c:pt>
                <c:pt idx="273">
                  <c:v>154.79</c:v>
                </c:pt>
                <c:pt idx="274">
                  <c:v>152.43</c:v>
                </c:pt>
                <c:pt idx="275">
                  <c:v>151.97</c:v>
                </c:pt>
                <c:pt idx="276">
                  <c:v>151</c:v>
                </c:pt>
                <c:pt idx="277">
                  <c:v>152.11000000000001</c:v>
                </c:pt>
                <c:pt idx="278">
                  <c:v>152.6</c:v>
                </c:pt>
                <c:pt idx="279">
                  <c:v>154.16999999999999</c:v>
                </c:pt>
                <c:pt idx="280">
                  <c:v>152.13</c:v>
                </c:pt>
                <c:pt idx="281">
                  <c:v>152.88999999999999</c:v>
                </c:pt>
                <c:pt idx="282">
                  <c:v>156.41</c:v>
                </c:pt>
                <c:pt idx="283">
                  <c:v>155.68</c:v>
                </c:pt>
                <c:pt idx="284">
                  <c:v>157.32</c:v>
                </c:pt>
                <c:pt idx="285">
                  <c:v>157.49</c:v>
                </c:pt>
                <c:pt idx="286">
                  <c:v>157.97</c:v>
                </c:pt>
                <c:pt idx="287">
                  <c:v>158.18</c:v>
                </c:pt>
                <c:pt idx="288">
                  <c:v>157.35</c:v>
                </c:pt>
                <c:pt idx="289">
                  <c:v>159.04</c:v>
                </c:pt>
                <c:pt idx="290">
                  <c:v>161.02000000000001</c:v>
                </c:pt>
                <c:pt idx="291">
                  <c:v>163.12</c:v>
                </c:pt>
                <c:pt idx="292">
                  <c:v>161.24</c:v>
                </c:pt>
                <c:pt idx="293">
                  <c:v>161.66</c:v>
                </c:pt>
                <c:pt idx="294">
                  <c:v>162.51</c:v>
                </c:pt>
                <c:pt idx="295">
                  <c:v>162.97</c:v>
                </c:pt>
                <c:pt idx="296">
                  <c:v>161.29</c:v>
                </c:pt>
                <c:pt idx="297">
                  <c:v>161.63999999999999</c:v>
                </c:pt>
                <c:pt idx="298">
                  <c:v>158.69</c:v>
                </c:pt>
                <c:pt idx="299">
                  <c:v>157.57</c:v>
                </c:pt>
                <c:pt idx="300">
                  <c:v>157.55000000000001</c:v>
                </c:pt>
                <c:pt idx="301">
                  <c:v>157.35</c:v>
                </c:pt>
                <c:pt idx="302">
                  <c:v>155.31</c:v>
                </c:pt>
                <c:pt idx="303">
                  <c:v>149.43</c:v>
                </c:pt>
                <c:pt idx="304">
                  <c:v>151.63</c:v>
                </c:pt>
                <c:pt idx="305">
                  <c:v>142.78</c:v>
                </c:pt>
                <c:pt idx="306">
                  <c:v>143.66999999999999</c:v>
                </c:pt>
                <c:pt idx="307">
                  <c:v>146</c:v>
                </c:pt>
                <c:pt idx="308">
                  <c:v>144.44</c:v>
                </c:pt>
                <c:pt idx="309">
                  <c:v>142.08000000000001</c:v>
                </c:pt>
                <c:pt idx="310">
                  <c:v>141.18</c:v>
                </c:pt>
                <c:pt idx="311">
                  <c:v>140.08000000000001</c:v>
                </c:pt>
                <c:pt idx="312">
                  <c:v>141.5</c:v>
                </c:pt>
                <c:pt idx="313">
                  <c:v>142.07</c:v>
                </c:pt>
                <c:pt idx="314">
                  <c:v>138.85</c:v>
                </c:pt>
                <c:pt idx="315">
                  <c:v>141.52000000000001</c:v>
                </c:pt>
                <c:pt idx="316">
                  <c:v>141.16</c:v>
                </c:pt>
                <c:pt idx="317">
                  <c:v>138.16</c:v>
                </c:pt>
                <c:pt idx="318">
                  <c:v>139.18</c:v>
                </c:pt>
                <c:pt idx="319">
                  <c:v>137.13999999999999</c:v>
                </c:pt>
                <c:pt idx="320">
                  <c:v>136.97</c:v>
                </c:pt>
                <c:pt idx="321">
                  <c:v>136.41</c:v>
                </c:pt>
                <c:pt idx="322">
                  <c:v>133.41999999999999</c:v>
                </c:pt>
                <c:pt idx="323">
                  <c:v>127.18</c:v>
                </c:pt>
                <c:pt idx="324">
                  <c:v>130.28</c:v>
                </c:pt>
                <c:pt idx="325">
                  <c:v>129.47999999999999</c:v>
                </c:pt>
                <c:pt idx="326">
                  <c:v>140.38999999999999</c:v>
                </c:pt>
                <c:pt idx="327">
                  <c:v>153.62</c:v>
                </c:pt>
                <c:pt idx="328">
                  <c:v>154.69</c:v>
                </c:pt>
                <c:pt idx="329">
                  <c:v>153.12</c:v>
                </c:pt>
                <c:pt idx="330">
                  <c:v>154.24</c:v>
                </c:pt>
                <c:pt idx="331">
                  <c:v>155.41999999999999</c:v>
                </c:pt>
                <c:pt idx="332">
                  <c:v>155.81</c:v>
                </c:pt>
                <c:pt idx="333">
                  <c:v>156.72999999999999</c:v>
                </c:pt>
                <c:pt idx="334">
                  <c:v>158.41999999999999</c:v>
                </c:pt>
                <c:pt idx="335">
                  <c:v>157.28</c:v>
                </c:pt>
                <c:pt idx="336">
                  <c:v>159.04</c:v>
                </c:pt>
                <c:pt idx="337">
                  <c:v>158.6</c:v>
                </c:pt>
                <c:pt idx="338">
                  <c:v>154.66</c:v>
                </c:pt>
                <c:pt idx="339">
                  <c:v>151.81</c:v>
                </c:pt>
                <c:pt idx="340">
                  <c:v>150.88</c:v>
                </c:pt>
                <c:pt idx="341">
                  <c:v>150.30000000000001</c:v>
                </c:pt>
                <c:pt idx="342">
                  <c:v>150.75</c:v>
                </c:pt>
                <c:pt idx="343">
                  <c:v>151.05000000000001</c:v>
                </c:pt>
                <c:pt idx="344">
                  <c:v>151.56</c:v>
                </c:pt>
                <c:pt idx="345">
                  <c:v>150.44</c:v>
                </c:pt>
                <c:pt idx="346">
                  <c:v>146.1</c:v>
                </c:pt>
                <c:pt idx="347">
                  <c:v>139.34</c:v>
                </c:pt>
                <c:pt idx="348">
                  <c:v>138.57</c:v>
                </c:pt>
                <c:pt idx="349">
                  <c:v>137.19999999999999</c:v>
                </c:pt>
                <c:pt idx="350">
                  <c:v>138.69</c:v>
                </c:pt>
                <c:pt idx="351">
                  <c:v>137.07</c:v>
                </c:pt>
                <c:pt idx="352">
                  <c:v>137.65</c:v>
                </c:pt>
                <c:pt idx="353">
                  <c:v>140.76</c:v>
                </c:pt>
                <c:pt idx="354">
                  <c:v>138.04</c:v>
                </c:pt>
                <c:pt idx="355">
                  <c:v>135.76</c:v>
                </c:pt>
                <c:pt idx="356">
                  <c:v>134.54</c:v>
                </c:pt>
                <c:pt idx="357">
                  <c:v>134.29</c:v>
                </c:pt>
                <c:pt idx="358">
                  <c:v>134.47</c:v>
                </c:pt>
                <c:pt idx="359">
                  <c:v>136.25</c:v>
                </c:pt>
                <c:pt idx="360">
                  <c:v>132.28</c:v>
                </c:pt>
                <c:pt idx="361">
                  <c:v>130.11000000000001</c:v>
                </c:pt>
                <c:pt idx="362">
                  <c:v>134.04</c:v>
                </c:pt>
                <c:pt idx="363">
                  <c:v>138.31</c:v>
                </c:pt>
                <c:pt idx="364">
                  <c:v>132.54</c:v>
                </c:pt>
                <c:pt idx="365">
                  <c:v>134.4</c:v>
                </c:pt>
                <c:pt idx="366">
                  <c:v>133.41999999999999</c:v>
                </c:pt>
                <c:pt idx="367">
                  <c:v>131.82</c:v>
                </c:pt>
                <c:pt idx="368">
                  <c:v>132.97</c:v>
                </c:pt>
                <c:pt idx="369">
                  <c:v>134.62</c:v>
                </c:pt>
                <c:pt idx="370">
                  <c:v>131.12</c:v>
                </c:pt>
                <c:pt idx="371">
                  <c:v>130.80000000000001</c:v>
                </c:pt>
                <c:pt idx="372">
                  <c:v>128.62</c:v>
                </c:pt>
                <c:pt idx="373">
                  <c:v>126.37</c:v>
                </c:pt>
                <c:pt idx="374">
                  <c:v>129.74</c:v>
                </c:pt>
                <c:pt idx="375">
                  <c:v>130.37</c:v>
                </c:pt>
                <c:pt idx="376">
                  <c:v>128.91999999999999</c:v>
                </c:pt>
                <c:pt idx="377">
                  <c:v>129.69999999999999</c:v>
                </c:pt>
                <c:pt idx="378">
                  <c:v>131.66</c:v>
                </c:pt>
                <c:pt idx="379">
                  <c:v>130.28</c:v>
                </c:pt>
                <c:pt idx="380">
                  <c:v>127.81</c:v>
                </c:pt>
                <c:pt idx="381">
                  <c:v>126.53</c:v>
                </c:pt>
                <c:pt idx="382">
                  <c:v>126.93</c:v>
                </c:pt>
                <c:pt idx="383">
                  <c:v>122.93</c:v>
                </c:pt>
                <c:pt idx="384">
                  <c:v>127.43</c:v>
                </c:pt>
                <c:pt idx="385">
                  <c:v>129.93</c:v>
                </c:pt>
                <c:pt idx="386">
                  <c:v>132.63999999999999</c:v>
                </c:pt>
                <c:pt idx="387">
                  <c:v>133.38</c:v>
                </c:pt>
                <c:pt idx="388">
                  <c:v>132.18</c:v>
                </c:pt>
                <c:pt idx="389">
                  <c:v>138.36000000000001</c:v>
                </c:pt>
                <c:pt idx="390">
                  <c:v>138.18</c:v>
                </c:pt>
                <c:pt idx="391">
                  <c:v>136.74</c:v>
                </c:pt>
                <c:pt idx="392">
                  <c:v>138.05000000000001</c:v>
                </c:pt>
                <c:pt idx="393">
                  <c:v>136.88</c:v>
                </c:pt>
                <c:pt idx="394">
                  <c:v>138.91</c:v>
                </c:pt>
                <c:pt idx="395">
                  <c:v>140.36000000000001</c:v>
                </c:pt>
                <c:pt idx="396">
                  <c:v>140.38</c:v>
                </c:pt>
                <c:pt idx="397">
                  <c:v>141.71</c:v>
                </c:pt>
                <c:pt idx="398">
                  <c:v>140.68</c:v>
                </c:pt>
                <c:pt idx="399">
                  <c:v>143.26</c:v>
                </c:pt>
                <c:pt idx="400">
                  <c:v>144.46</c:v>
                </c:pt>
                <c:pt idx="401">
                  <c:v>145.68</c:v>
                </c:pt>
                <c:pt idx="402">
                  <c:v>147.79</c:v>
                </c:pt>
                <c:pt idx="403">
                  <c:v>148.94999999999999</c:v>
                </c:pt>
                <c:pt idx="404">
                  <c:v>150.78</c:v>
                </c:pt>
                <c:pt idx="405">
                  <c:v>150.6</c:v>
                </c:pt>
                <c:pt idx="406">
                  <c:v>150.32</c:v>
                </c:pt>
                <c:pt idx="407">
                  <c:v>149.88</c:v>
                </c:pt>
                <c:pt idx="408">
                  <c:v>148.29</c:v>
                </c:pt>
                <c:pt idx="409">
                  <c:v>147.07</c:v>
                </c:pt>
                <c:pt idx="410">
                  <c:v>145.85</c:v>
                </c:pt>
                <c:pt idx="411">
                  <c:v>146.54</c:v>
                </c:pt>
                <c:pt idx="412">
                  <c:v>146.41</c:v>
                </c:pt>
                <c:pt idx="413">
                  <c:v>144.54</c:v>
                </c:pt>
                <c:pt idx="414">
                  <c:v>143.38999999999999</c:v>
                </c:pt>
                <c:pt idx="415">
                  <c:v>144.53</c:v>
                </c:pt>
                <c:pt idx="416">
                  <c:v>144.47</c:v>
                </c:pt>
                <c:pt idx="417">
                  <c:v>143.66999999999999</c:v>
                </c:pt>
                <c:pt idx="418">
                  <c:v>142.78</c:v>
                </c:pt>
                <c:pt idx="419">
                  <c:v>140.22</c:v>
                </c:pt>
                <c:pt idx="420">
                  <c:v>139.46</c:v>
                </c:pt>
                <c:pt idx="421">
                  <c:v>141.21</c:v>
                </c:pt>
                <c:pt idx="422">
                  <c:v>137.97999999999999</c:v>
                </c:pt>
                <c:pt idx="423">
                  <c:v>139.16999999999999</c:v>
                </c:pt>
                <c:pt idx="424">
                  <c:v>144.16999999999999</c:v>
                </c:pt>
                <c:pt idx="425">
                  <c:v>145.01</c:v>
                </c:pt>
                <c:pt idx="426">
                  <c:v>147.57</c:v>
                </c:pt>
                <c:pt idx="427">
                  <c:v>150.94999999999999</c:v>
                </c:pt>
                <c:pt idx="428">
                  <c:v>153.62</c:v>
                </c:pt>
                <c:pt idx="429">
                  <c:v>152.29</c:v>
                </c:pt>
                <c:pt idx="430">
                  <c:v>146.94999999999999</c:v>
                </c:pt>
                <c:pt idx="431">
                  <c:v>149.75</c:v>
                </c:pt>
                <c:pt idx="432">
                  <c:v>148.56</c:v>
                </c:pt>
                <c:pt idx="433">
                  <c:v>148.97</c:v>
                </c:pt>
                <c:pt idx="434">
                  <c:v>150.06</c:v>
                </c:pt>
                <c:pt idx="435">
                  <c:v>149.38</c:v>
                </c:pt>
                <c:pt idx="436">
                  <c:v>145.86000000000001</c:v>
                </c:pt>
                <c:pt idx="437">
                  <c:v>148.97999999999999</c:v>
                </c:pt>
                <c:pt idx="438">
                  <c:v>148.78</c:v>
                </c:pt>
                <c:pt idx="439">
                  <c:v>150.38999999999999</c:v>
                </c:pt>
                <c:pt idx="440">
                  <c:v>155.03</c:v>
                </c:pt>
                <c:pt idx="441">
                  <c:v>155.38999999999999</c:v>
                </c:pt>
                <c:pt idx="442">
                  <c:v>152.4</c:v>
                </c:pt>
                <c:pt idx="443">
                  <c:v>155.24</c:v>
                </c:pt>
                <c:pt idx="444">
                  <c:v>155.63</c:v>
                </c:pt>
                <c:pt idx="445">
                  <c:v>158.32</c:v>
                </c:pt>
                <c:pt idx="446">
                  <c:v>160.66</c:v>
                </c:pt>
                <c:pt idx="447">
                  <c:v>159.72</c:v>
                </c:pt>
                <c:pt idx="448">
                  <c:v>159.06</c:v>
                </c:pt>
                <c:pt idx="449">
                  <c:v>159.52000000000001</c:v>
                </c:pt>
                <c:pt idx="450">
                  <c:v>164.36</c:v>
                </c:pt>
                <c:pt idx="451">
                  <c:v>166.75</c:v>
                </c:pt>
                <c:pt idx="452">
                  <c:v>166.98</c:v>
                </c:pt>
                <c:pt idx="453">
                  <c:v>167.03</c:v>
                </c:pt>
                <c:pt idx="454">
                  <c:v>168.55</c:v>
                </c:pt>
                <c:pt idx="455">
                  <c:v>166.55</c:v>
                </c:pt>
                <c:pt idx="456">
                  <c:v>165.61</c:v>
                </c:pt>
                <c:pt idx="457">
                  <c:v>161.66</c:v>
                </c:pt>
                <c:pt idx="458">
                  <c:v>160.53</c:v>
                </c:pt>
                <c:pt idx="459">
                  <c:v>153.99</c:v>
                </c:pt>
                <c:pt idx="460">
                  <c:v>152.02000000000001</c:v>
                </c:pt>
                <c:pt idx="461">
                  <c:v>149.54</c:v>
                </c:pt>
                <c:pt idx="462">
                  <c:v>150.6</c:v>
                </c:pt>
                <c:pt idx="463">
                  <c:v>152.82</c:v>
                </c:pt>
                <c:pt idx="464">
                  <c:v>154.21</c:v>
                </c:pt>
                <c:pt idx="465">
                  <c:v>153.49</c:v>
                </c:pt>
                <c:pt idx="466">
                  <c:v>151.74</c:v>
                </c:pt>
                <c:pt idx="467">
                  <c:v>148.16999999999999</c:v>
                </c:pt>
                <c:pt idx="468">
                  <c:v>149.41999999999999</c:v>
                </c:pt>
                <c:pt idx="469">
                  <c:v>149.47</c:v>
                </c:pt>
                <c:pt idx="470">
                  <c:v>151.22</c:v>
                </c:pt>
                <c:pt idx="471">
                  <c:v>151.72</c:v>
                </c:pt>
                <c:pt idx="472">
                  <c:v>151.18</c:v>
                </c:pt>
                <c:pt idx="473">
                  <c:v>152.15</c:v>
                </c:pt>
                <c:pt idx="474">
                  <c:v>152.88</c:v>
                </c:pt>
                <c:pt idx="475">
                  <c:v>152.76</c:v>
                </c:pt>
                <c:pt idx="476">
                  <c:v>152.97</c:v>
                </c:pt>
                <c:pt idx="477">
                  <c:v>153.69999999999999</c:v>
                </c:pt>
                <c:pt idx="478">
                  <c:v>154.69999999999999</c:v>
                </c:pt>
                <c:pt idx="479">
                  <c:v>155.69999999999999</c:v>
                </c:pt>
                <c:pt idx="480">
                  <c:v>154.19999999999999</c:v>
                </c:pt>
                <c:pt idx="481">
                  <c:v>154.13999999999999</c:v>
                </c:pt>
                <c:pt idx="482">
                  <c:v>151.91999999999999</c:v>
                </c:pt>
                <c:pt idx="483">
                  <c:v>153.93</c:v>
                </c:pt>
                <c:pt idx="484">
                  <c:v>153.96</c:v>
                </c:pt>
                <c:pt idx="485">
                  <c:v>149.52000000000001</c:v>
                </c:pt>
                <c:pt idx="486">
                  <c:v>146.16999999999999</c:v>
                </c:pt>
                <c:pt idx="487">
                  <c:v>148.88</c:v>
                </c:pt>
                <c:pt idx="488">
                  <c:v>152.06</c:v>
                </c:pt>
                <c:pt idx="489">
                  <c:v>151.81</c:v>
                </c:pt>
                <c:pt idx="490">
                  <c:v>150.28</c:v>
                </c:pt>
                <c:pt idx="491">
                  <c:v>153.86000000000001</c:v>
                </c:pt>
                <c:pt idx="492">
                  <c:v>150.32</c:v>
                </c:pt>
                <c:pt idx="493">
                  <c:v>149.82</c:v>
                </c:pt>
                <c:pt idx="494">
                  <c:v>158.22</c:v>
                </c:pt>
                <c:pt idx="495">
                  <c:v>163.06</c:v>
                </c:pt>
                <c:pt idx="496">
                  <c:v>165.33</c:v>
                </c:pt>
                <c:pt idx="497">
                  <c:v>164.07</c:v>
                </c:pt>
                <c:pt idx="498">
                  <c:v>162.87</c:v>
                </c:pt>
                <c:pt idx="499">
                  <c:v>162.55000000000001</c:v>
                </c:pt>
                <c:pt idx="500">
                  <c:v>157.38999999999999</c:v>
                </c:pt>
                <c:pt idx="501">
                  <c:v>160.31</c:v>
                </c:pt>
                <c:pt idx="502">
                  <c:v>160.02000000000001</c:v>
                </c:pt>
                <c:pt idx="503">
                  <c:v>160.32</c:v>
                </c:pt>
                <c:pt idx="504">
                  <c:v>157.77000000000001</c:v>
                </c:pt>
                <c:pt idx="505">
                  <c:v>166.36</c:v>
                </c:pt>
                <c:pt idx="506">
                  <c:v>167.07</c:v>
                </c:pt>
                <c:pt idx="507">
                  <c:v>166.76</c:v>
                </c:pt>
                <c:pt idx="508">
                  <c:v>168.69</c:v>
                </c:pt>
                <c:pt idx="509">
                  <c:v>168.92</c:v>
                </c:pt>
                <c:pt idx="510">
                  <c:v>167.98</c:v>
                </c:pt>
                <c:pt idx="511">
                  <c:v>171.8</c:v>
                </c:pt>
                <c:pt idx="512">
                  <c:v>172.28</c:v>
                </c:pt>
                <c:pt idx="513">
                  <c:v>174.71</c:v>
                </c:pt>
                <c:pt idx="514">
                  <c:v>176.29</c:v>
                </c:pt>
                <c:pt idx="515">
                  <c:v>176.37</c:v>
                </c:pt>
                <c:pt idx="516">
                  <c:v>174.54</c:v>
                </c:pt>
                <c:pt idx="517">
                  <c:v>174.07</c:v>
                </c:pt>
                <c:pt idx="518">
                  <c:v>174.01</c:v>
                </c:pt>
                <c:pt idx="519">
                  <c:v>174.16</c:v>
                </c:pt>
                <c:pt idx="520">
                  <c:v>172.56</c:v>
                </c:pt>
                <c:pt idx="521">
                  <c:v>175.68</c:v>
                </c:pt>
                <c:pt idx="522">
                  <c:v>177.96</c:v>
                </c:pt>
                <c:pt idx="523">
                  <c:v>179.94</c:v>
                </c:pt>
                <c:pt idx="524">
                  <c:v>182.28</c:v>
                </c:pt>
                <c:pt idx="525">
                  <c:v>180.02</c:v>
                </c:pt>
                <c:pt idx="526">
                  <c:v>181.12</c:v>
                </c:pt>
                <c:pt idx="527">
                  <c:v>183.15</c:v>
                </c:pt>
                <c:pt idx="528">
                  <c:v>182.56</c:v>
                </c:pt>
                <c:pt idx="529">
                  <c:v>182.23</c:v>
                </c:pt>
                <c:pt idx="530">
                  <c:v>181.33</c:v>
                </c:pt>
                <c:pt idx="531">
                  <c:v>180.29</c:v>
                </c:pt>
                <c:pt idx="532">
                  <c:v>178.9</c:v>
                </c:pt>
                <c:pt idx="533">
                  <c:v>172.05</c:v>
                </c:pt>
                <c:pt idx="534">
                  <c:v>169.2</c:v>
                </c:pt>
                <c:pt idx="535">
                  <c:v>158.94999999999999</c:v>
                </c:pt>
                <c:pt idx="536">
                  <c:v>174.25</c:v>
                </c:pt>
                <c:pt idx="537">
                  <c:v>167.2</c:v>
                </c:pt>
                <c:pt idx="538">
                  <c:v>164.15</c:v>
                </c:pt>
                <c:pt idx="539">
                  <c:v>174.25</c:v>
                </c:pt>
                <c:pt idx="540">
                  <c:v>174.9</c:v>
                </c:pt>
                <c:pt idx="541">
                  <c:v>175.5</c:v>
                </c:pt>
                <c:pt idx="542">
                  <c:v>174.85</c:v>
                </c:pt>
                <c:pt idx="543">
                  <c:v>175.5</c:v>
                </c:pt>
                <c:pt idx="544">
                  <c:v>173.3</c:v>
                </c:pt>
                <c:pt idx="545">
                  <c:v>174.35</c:v>
                </c:pt>
                <c:pt idx="546">
                  <c:v>167.9</c:v>
                </c:pt>
                <c:pt idx="547">
                  <c:v>167.35</c:v>
                </c:pt>
                <c:pt idx="548">
                  <c:v>165.9</c:v>
                </c:pt>
                <c:pt idx="549">
                  <c:v>165.6</c:v>
                </c:pt>
                <c:pt idx="550">
                  <c:v>164.95</c:v>
                </c:pt>
                <c:pt idx="551">
                  <c:v>163.85</c:v>
                </c:pt>
                <c:pt idx="552">
                  <c:v>162.25</c:v>
                </c:pt>
                <c:pt idx="553">
                  <c:v>161.9</c:v>
                </c:pt>
                <c:pt idx="554">
                  <c:v>166.05</c:v>
                </c:pt>
                <c:pt idx="555">
                  <c:v>164.25</c:v>
                </c:pt>
                <c:pt idx="556">
                  <c:v>167.6</c:v>
                </c:pt>
                <c:pt idx="557">
                  <c:v>166.5</c:v>
                </c:pt>
                <c:pt idx="558">
                  <c:v>167.35</c:v>
                </c:pt>
                <c:pt idx="559">
                  <c:v>165</c:v>
                </c:pt>
                <c:pt idx="560">
                  <c:v>167.4</c:v>
                </c:pt>
                <c:pt idx="561">
                  <c:v>165.8</c:v>
                </c:pt>
                <c:pt idx="562">
                  <c:v>167.7</c:v>
                </c:pt>
                <c:pt idx="563">
                  <c:v>165.55</c:v>
                </c:pt>
                <c:pt idx="564">
                  <c:v>161.15</c:v>
                </c:pt>
                <c:pt idx="565">
                  <c:v>161.85</c:v>
                </c:pt>
                <c:pt idx="566">
                  <c:v>162.1</c:v>
                </c:pt>
                <c:pt idx="567">
                  <c:v>160.05000000000001</c:v>
                </c:pt>
                <c:pt idx="568">
                  <c:v>160.05000000000001</c:v>
                </c:pt>
                <c:pt idx="569">
                  <c:v>160.85</c:v>
                </c:pt>
                <c:pt idx="570">
                  <c:v>163.5</c:v>
                </c:pt>
                <c:pt idx="571">
                  <c:v>165.05</c:v>
                </c:pt>
                <c:pt idx="572">
                  <c:v>166</c:v>
                </c:pt>
                <c:pt idx="573">
                  <c:v>165.2</c:v>
                </c:pt>
                <c:pt idx="574">
                  <c:v>163.35</c:v>
                </c:pt>
                <c:pt idx="575">
                  <c:v>163.4</c:v>
                </c:pt>
                <c:pt idx="576">
                  <c:v>163.65</c:v>
                </c:pt>
                <c:pt idx="577">
                  <c:v>164.65</c:v>
                </c:pt>
                <c:pt idx="578">
                  <c:v>163.15</c:v>
                </c:pt>
                <c:pt idx="579">
                  <c:v>155.85</c:v>
                </c:pt>
                <c:pt idx="580">
                  <c:v>152.69999999999999</c:v>
                </c:pt>
                <c:pt idx="581">
                  <c:v>152.4</c:v>
                </c:pt>
                <c:pt idx="582">
                  <c:v>151.80000000000001</c:v>
                </c:pt>
                <c:pt idx="583">
                  <c:v>150.1</c:v>
                </c:pt>
                <c:pt idx="584">
                  <c:v>145.65</c:v>
                </c:pt>
                <c:pt idx="585">
                  <c:v>148.75</c:v>
                </c:pt>
                <c:pt idx="586">
                  <c:v>149.69999999999999</c:v>
                </c:pt>
                <c:pt idx="587">
                  <c:v>141.69999999999999</c:v>
                </c:pt>
                <c:pt idx="588">
                  <c:v>142.44999999999999</c:v>
                </c:pt>
                <c:pt idx="589">
                  <c:v>143.65</c:v>
                </c:pt>
                <c:pt idx="590">
                  <c:v>152.5</c:v>
                </c:pt>
                <c:pt idx="591">
                  <c:v>153.44999999999999</c:v>
                </c:pt>
                <c:pt idx="592">
                  <c:v>157.25</c:v>
                </c:pt>
                <c:pt idx="593">
                  <c:v>151.6</c:v>
                </c:pt>
                <c:pt idx="594">
                  <c:v>151.85</c:v>
                </c:pt>
                <c:pt idx="595">
                  <c:v>153.1</c:v>
                </c:pt>
                <c:pt idx="596">
                  <c:v>155.25</c:v>
                </c:pt>
                <c:pt idx="597">
                  <c:v>149.94999999999999</c:v>
                </c:pt>
                <c:pt idx="598">
                  <c:v>140.85</c:v>
                </c:pt>
                <c:pt idx="599">
                  <c:v>140.75</c:v>
                </c:pt>
                <c:pt idx="600">
                  <c:v>144.19999999999999</c:v>
                </c:pt>
                <c:pt idx="601">
                  <c:v>142.65</c:v>
                </c:pt>
                <c:pt idx="602">
                  <c:v>145.44999999999999</c:v>
                </c:pt>
                <c:pt idx="603">
                  <c:v>145.9</c:v>
                </c:pt>
                <c:pt idx="604">
                  <c:v>143.9</c:v>
                </c:pt>
                <c:pt idx="605">
                  <c:v>141.05000000000001</c:v>
                </c:pt>
                <c:pt idx="606">
                  <c:v>141.94999999999999</c:v>
                </c:pt>
                <c:pt idx="607">
                  <c:v>142.30000000000001</c:v>
                </c:pt>
                <c:pt idx="608">
                  <c:v>141.19999999999999</c:v>
                </c:pt>
                <c:pt idx="609">
                  <c:v>141.19999999999999</c:v>
                </c:pt>
                <c:pt idx="610">
                  <c:v>137.85</c:v>
                </c:pt>
                <c:pt idx="611">
                  <c:v>137.4</c:v>
                </c:pt>
                <c:pt idx="612">
                  <c:v>141.30000000000001</c:v>
                </c:pt>
                <c:pt idx="613">
                  <c:v>143.65</c:v>
                </c:pt>
                <c:pt idx="614">
                  <c:v>144.4</c:v>
                </c:pt>
                <c:pt idx="615">
                  <c:v>144.65</c:v>
                </c:pt>
                <c:pt idx="616">
                  <c:v>141.55000000000001</c:v>
                </c:pt>
                <c:pt idx="617">
                  <c:v>138.69999999999999</c:v>
                </c:pt>
                <c:pt idx="618">
                  <c:v>134.80000000000001</c:v>
                </c:pt>
                <c:pt idx="619">
                  <c:v>135.94999999999999</c:v>
                </c:pt>
                <c:pt idx="620">
                  <c:v>134.69999999999999</c:v>
                </c:pt>
                <c:pt idx="621">
                  <c:v>135</c:v>
                </c:pt>
                <c:pt idx="622">
                  <c:v>133.75</c:v>
                </c:pt>
                <c:pt idx="623">
                  <c:v>135.15</c:v>
                </c:pt>
                <c:pt idx="624">
                  <c:v>130.1</c:v>
                </c:pt>
                <c:pt idx="625">
                  <c:v>133.94999999999999</c:v>
                </c:pt>
                <c:pt idx="626">
                  <c:v>134.25</c:v>
                </c:pt>
                <c:pt idx="627">
                  <c:v>131</c:v>
                </c:pt>
                <c:pt idx="628">
                  <c:v>131.65</c:v>
                </c:pt>
                <c:pt idx="629">
                  <c:v>137.25</c:v>
                </c:pt>
                <c:pt idx="630">
                  <c:v>134.9</c:v>
                </c:pt>
                <c:pt idx="631">
                  <c:v>135.30000000000001</c:v>
                </c:pt>
                <c:pt idx="632">
                  <c:v>134.9</c:v>
                </c:pt>
                <c:pt idx="633">
                  <c:v>134.1</c:v>
                </c:pt>
                <c:pt idx="634">
                  <c:v>133.65</c:v>
                </c:pt>
                <c:pt idx="635">
                  <c:v>132</c:v>
                </c:pt>
                <c:pt idx="636">
                  <c:v>133.65</c:v>
                </c:pt>
                <c:pt idx="637">
                  <c:v>134.25</c:v>
                </c:pt>
                <c:pt idx="638">
                  <c:v>135.35</c:v>
                </c:pt>
                <c:pt idx="639">
                  <c:v>139.6</c:v>
                </c:pt>
                <c:pt idx="640">
                  <c:v>139.85</c:v>
                </c:pt>
                <c:pt idx="641">
                  <c:v>139.6</c:v>
                </c:pt>
                <c:pt idx="642">
                  <c:v>138.15</c:v>
                </c:pt>
                <c:pt idx="643">
                  <c:v>137.19999999999999</c:v>
                </c:pt>
                <c:pt idx="644">
                  <c:v>135.19999999999999</c:v>
                </c:pt>
                <c:pt idx="645">
                  <c:v>133.55000000000001</c:v>
                </c:pt>
                <c:pt idx="646">
                  <c:v>131</c:v>
                </c:pt>
                <c:pt idx="647">
                  <c:v>129.75</c:v>
                </c:pt>
                <c:pt idx="648">
                  <c:v>135.4</c:v>
                </c:pt>
                <c:pt idx="649">
                  <c:v>136.6</c:v>
                </c:pt>
                <c:pt idx="650">
                  <c:v>136.44999999999999</c:v>
                </c:pt>
                <c:pt idx="651">
                  <c:v>132</c:v>
                </c:pt>
                <c:pt idx="652">
                  <c:v>131.4</c:v>
                </c:pt>
                <c:pt idx="653">
                  <c:v>130.1</c:v>
                </c:pt>
                <c:pt idx="654">
                  <c:v>130.05000000000001</c:v>
                </c:pt>
                <c:pt idx="655">
                  <c:v>129.19999999999999</c:v>
                </c:pt>
                <c:pt idx="656">
                  <c:v>130</c:v>
                </c:pt>
                <c:pt idx="657">
                  <c:v>131.85</c:v>
                </c:pt>
                <c:pt idx="658">
                  <c:v>131.6</c:v>
                </c:pt>
                <c:pt idx="659">
                  <c:v>131</c:v>
                </c:pt>
                <c:pt idx="660">
                  <c:v>130</c:v>
                </c:pt>
                <c:pt idx="661">
                  <c:v>127.9</c:v>
                </c:pt>
                <c:pt idx="662">
                  <c:v>127.75</c:v>
                </c:pt>
                <c:pt idx="663">
                  <c:v>126.85</c:v>
                </c:pt>
                <c:pt idx="664">
                  <c:v>125.95</c:v>
                </c:pt>
                <c:pt idx="665">
                  <c:v>126.7</c:v>
                </c:pt>
                <c:pt idx="666">
                  <c:v>126.1</c:v>
                </c:pt>
                <c:pt idx="667">
                  <c:v>126.25</c:v>
                </c:pt>
                <c:pt idx="668">
                  <c:v>124.35</c:v>
                </c:pt>
                <c:pt idx="669">
                  <c:v>125.2</c:v>
                </c:pt>
                <c:pt idx="670">
                  <c:v>124.7</c:v>
                </c:pt>
                <c:pt idx="671">
                  <c:v>124.05</c:v>
                </c:pt>
                <c:pt idx="672">
                  <c:v>121</c:v>
                </c:pt>
                <c:pt idx="673">
                  <c:v>120.85</c:v>
                </c:pt>
                <c:pt idx="674">
                  <c:v>120.05</c:v>
                </c:pt>
                <c:pt idx="675">
                  <c:v>119.65</c:v>
                </c:pt>
                <c:pt idx="676">
                  <c:v>119.05</c:v>
                </c:pt>
                <c:pt idx="677">
                  <c:v>119.65</c:v>
                </c:pt>
                <c:pt idx="678">
                  <c:v>119.4</c:v>
                </c:pt>
                <c:pt idx="679">
                  <c:v>117.3</c:v>
                </c:pt>
                <c:pt idx="680">
                  <c:v>118.1</c:v>
                </c:pt>
                <c:pt idx="681">
                  <c:v>116.6</c:v>
                </c:pt>
                <c:pt idx="682">
                  <c:v>118.75</c:v>
                </c:pt>
                <c:pt idx="683">
                  <c:v>119.15</c:v>
                </c:pt>
                <c:pt idx="684">
                  <c:v>119.9</c:v>
                </c:pt>
                <c:pt idx="685">
                  <c:v>119.9</c:v>
                </c:pt>
                <c:pt idx="686">
                  <c:v>121.35</c:v>
                </c:pt>
                <c:pt idx="687">
                  <c:v>120</c:v>
                </c:pt>
                <c:pt idx="688">
                  <c:v>123.1</c:v>
                </c:pt>
                <c:pt idx="689">
                  <c:v>126</c:v>
                </c:pt>
                <c:pt idx="690">
                  <c:v>127.1</c:v>
                </c:pt>
                <c:pt idx="691">
                  <c:v>127.4</c:v>
                </c:pt>
                <c:pt idx="692">
                  <c:v>127</c:v>
                </c:pt>
                <c:pt idx="693">
                  <c:v>125.05</c:v>
                </c:pt>
                <c:pt idx="694">
                  <c:v>125.9</c:v>
                </c:pt>
                <c:pt idx="695">
                  <c:v>124.95</c:v>
                </c:pt>
                <c:pt idx="696">
                  <c:v>125.3</c:v>
                </c:pt>
                <c:pt idx="697">
                  <c:v>123.85</c:v>
                </c:pt>
                <c:pt idx="698">
                  <c:v>125.9</c:v>
                </c:pt>
                <c:pt idx="699">
                  <c:v>125.25</c:v>
                </c:pt>
                <c:pt idx="700">
                  <c:v>125.3</c:v>
                </c:pt>
                <c:pt idx="701">
                  <c:v>128</c:v>
                </c:pt>
                <c:pt idx="702">
                  <c:v>128.9</c:v>
                </c:pt>
                <c:pt idx="703">
                  <c:v>126.8</c:v>
                </c:pt>
                <c:pt idx="704">
                  <c:v>128.15</c:v>
                </c:pt>
                <c:pt idx="705">
                  <c:v>128.9</c:v>
                </c:pt>
                <c:pt idx="706">
                  <c:v>127.4</c:v>
                </c:pt>
                <c:pt idx="707">
                  <c:v>126.75</c:v>
                </c:pt>
                <c:pt idx="708">
                  <c:v>127.8</c:v>
                </c:pt>
                <c:pt idx="709">
                  <c:v>128.30000000000001</c:v>
                </c:pt>
                <c:pt idx="710">
                  <c:v>130.44999999999999</c:v>
                </c:pt>
                <c:pt idx="711">
                  <c:v>131.94999999999999</c:v>
                </c:pt>
                <c:pt idx="712">
                  <c:v>131.69999999999999</c:v>
                </c:pt>
                <c:pt idx="713">
                  <c:v>129.55000000000001</c:v>
                </c:pt>
                <c:pt idx="714">
                  <c:v>129</c:v>
                </c:pt>
                <c:pt idx="715">
                  <c:v>131.15</c:v>
                </c:pt>
                <c:pt idx="716">
                  <c:v>129.5</c:v>
                </c:pt>
                <c:pt idx="717">
                  <c:v>130.15</c:v>
                </c:pt>
                <c:pt idx="718">
                  <c:v>129.6</c:v>
                </c:pt>
                <c:pt idx="719">
                  <c:v>131.69999999999999</c:v>
                </c:pt>
                <c:pt idx="720">
                  <c:v>131.75</c:v>
                </c:pt>
                <c:pt idx="721">
                  <c:v>127.05</c:v>
                </c:pt>
                <c:pt idx="722">
                  <c:v>122.9</c:v>
                </c:pt>
                <c:pt idx="723">
                  <c:v>122.1</c:v>
                </c:pt>
                <c:pt idx="724">
                  <c:v>119.55</c:v>
                </c:pt>
                <c:pt idx="725">
                  <c:v>117.6</c:v>
                </c:pt>
                <c:pt idx="726">
                  <c:v>116.9</c:v>
                </c:pt>
                <c:pt idx="727">
                  <c:v>118.25</c:v>
                </c:pt>
                <c:pt idx="728">
                  <c:v>118.95</c:v>
                </c:pt>
                <c:pt idx="729">
                  <c:v>117.55</c:v>
                </c:pt>
                <c:pt idx="730">
                  <c:v>116.9</c:v>
                </c:pt>
                <c:pt idx="731">
                  <c:v>115.8</c:v>
                </c:pt>
                <c:pt idx="732">
                  <c:v>116.05</c:v>
                </c:pt>
                <c:pt idx="733">
                  <c:v>115.95</c:v>
                </c:pt>
                <c:pt idx="734">
                  <c:v>118.15</c:v>
                </c:pt>
                <c:pt idx="735">
                  <c:v>120.3</c:v>
                </c:pt>
                <c:pt idx="736">
                  <c:v>120</c:v>
                </c:pt>
                <c:pt idx="737">
                  <c:v>120.2</c:v>
                </c:pt>
                <c:pt idx="738">
                  <c:v>118.15</c:v>
                </c:pt>
                <c:pt idx="739">
                  <c:v>118.85</c:v>
                </c:pt>
                <c:pt idx="740">
                  <c:v>119</c:v>
                </c:pt>
                <c:pt idx="741">
                  <c:v>118.2</c:v>
                </c:pt>
                <c:pt idx="742">
                  <c:v>118.95</c:v>
                </c:pt>
                <c:pt idx="743">
                  <c:v>123.2</c:v>
                </c:pt>
                <c:pt idx="744">
                  <c:v>123.15</c:v>
                </c:pt>
                <c:pt idx="745">
                  <c:v>120.6</c:v>
                </c:pt>
                <c:pt idx="746">
                  <c:v>119.8</c:v>
                </c:pt>
                <c:pt idx="747">
                  <c:v>119.95</c:v>
                </c:pt>
                <c:pt idx="748">
                  <c:v>119.25</c:v>
                </c:pt>
                <c:pt idx="749">
                  <c:v>115.5</c:v>
                </c:pt>
                <c:pt idx="750">
                  <c:v>116.6</c:v>
                </c:pt>
                <c:pt idx="751">
                  <c:v>116.95</c:v>
                </c:pt>
                <c:pt idx="752">
                  <c:v>116.7</c:v>
                </c:pt>
                <c:pt idx="753">
                  <c:v>116.6</c:v>
                </c:pt>
                <c:pt idx="754">
                  <c:v>117.75</c:v>
                </c:pt>
                <c:pt idx="755">
                  <c:v>117.15</c:v>
                </c:pt>
                <c:pt idx="756">
                  <c:v>114.85</c:v>
                </c:pt>
                <c:pt idx="757">
                  <c:v>114.7</c:v>
                </c:pt>
                <c:pt idx="758">
                  <c:v>115.15</c:v>
                </c:pt>
                <c:pt idx="759">
                  <c:v>115.3</c:v>
                </c:pt>
                <c:pt idx="760">
                  <c:v>111.6</c:v>
                </c:pt>
                <c:pt idx="761">
                  <c:v>112.65</c:v>
                </c:pt>
                <c:pt idx="762">
                  <c:v>112.95</c:v>
                </c:pt>
                <c:pt idx="763">
                  <c:v>112.4</c:v>
                </c:pt>
                <c:pt idx="764">
                  <c:v>113.1</c:v>
                </c:pt>
                <c:pt idx="765">
                  <c:v>112</c:v>
                </c:pt>
                <c:pt idx="766">
                  <c:v>111.55</c:v>
                </c:pt>
                <c:pt idx="767">
                  <c:v>110.75</c:v>
                </c:pt>
                <c:pt idx="768">
                  <c:v>109.85</c:v>
                </c:pt>
                <c:pt idx="769">
                  <c:v>109.6</c:v>
                </c:pt>
                <c:pt idx="770">
                  <c:v>111.1</c:v>
                </c:pt>
                <c:pt idx="771">
                  <c:v>113.9</c:v>
                </c:pt>
                <c:pt idx="772">
                  <c:v>114.25</c:v>
                </c:pt>
                <c:pt idx="773">
                  <c:v>114.1</c:v>
                </c:pt>
                <c:pt idx="774">
                  <c:v>114.25</c:v>
                </c:pt>
                <c:pt idx="775">
                  <c:v>113.75</c:v>
                </c:pt>
                <c:pt idx="776">
                  <c:v>113.8</c:v>
                </c:pt>
                <c:pt idx="777">
                  <c:v>111.15</c:v>
                </c:pt>
                <c:pt idx="778">
                  <c:v>109.5</c:v>
                </c:pt>
                <c:pt idx="779">
                  <c:v>108.9</c:v>
                </c:pt>
                <c:pt idx="780">
                  <c:v>111.15</c:v>
                </c:pt>
                <c:pt idx="781">
                  <c:v>111.5</c:v>
                </c:pt>
                <c:pt idx="782">
                  <c:v>109</c:v>
                </c:pt>
                <c:pt idx="783">
                  <c:v>109.4</c:v>
                </c:pt>
                <c:pt idx="784">
                  <c:v>108</c:v>
                </c:pt>
                <c:pt idx="785">
                  <c:v>105.95</c:v>
                </c:pt>
                <c:pt idx="786">
                  <c:v>105.8</c:v>
                </c:pt>
                <c:pt idx="787">
                  <c:v>107.05</c:v>
                </c:pt>
                <c:pt idx="788">
                  <c:v>108.45</c:v>
                </c:pt>
                <c:pt idx="789">
                  <c:v>106.4</c:v>
                </c:pt>
                <c:pt idx="790">
                  <c:v>104.85</c:v>
                </c:pt>
                <c:pt idx="791">
                  <c:v>105.2</c:v>
                </c:pt>
                <c:pt idx="792">
                  <c:v>105.6</c:v>
                </c:pt>
                <c:pt idx="793">
                  <c:v>105</c:v>
                </c:pt>
                <c:pt idx="794">
                  <c:v>104.65</c:v>
                </c:pt>
                <c:pt idx="795">
                  <c:v>105.2</c:v>
                </c:pt>
                <c:pt idx="796">
                  <c:v>106</c:v>
                </c:pt>
                <c:pt idx="797">
                  <c:v>107.4</c:v>
                </c:pt>
                <c:pt idx="798">
                  <c:v>107.7</c:v>
                </c:pt>
                <c:pt idx="799">
                  <c:v>106.75</c:v>
                </c:pt>
                <c:pt idx="800">
                  <c:v>108.55</c:v>
                </c:pt>
                <c:pt idx="801">
                  <c:v>109.25</c:v>
                </c:pt>
                <c:pt idx="802">
                  <c:v>109.55</c:v>
                </c:pt>
                <c:pt idx="803">
                  <c:v>109.55</c:v>
                </c:pt>
                <c:pt idx="804">
                  <c:v>108.65</c:v>
                </c:pt>
                <c:pt idx="805">
                  <c:v>111.05</c:v>
                </c:pt>
                <c:pt idx="806">
                  <c:v>109.7</c:v>
                </c:pt>
                <c:pt idx="807">
                  <c:v>110.3</c:v>
                </c:pt>
                <c:pt idx="808">
                  <c:v>107.95</c:v>
                </c:pt>
                <c:pt idx="809">
                  <c:v>107.65</c:v>
                </c:pt>
                <c:pt idx="810">
                  <c:v>106.85</c:v>
                </c:pt>
                <c:pt idx="811">
                  <c:v>107.05</c:v>
                </c:pt>
                <c:pt idx="812">
                  <c:v>106.5</c:v>
                </c:pt>
                <c:pt idx="813">
                  <c:v>106.15</c:v>
                </c:pt>
                <c:pt idx="814">
                  <c:v>108</c:v>
                </c:pt>
                <c:pt idx="815">
                  <c:v>108.1</c:v>
                </c:pt>
                <c:pt idx="816">
                  <c:v>107.6</c:v>
                </c:pt>
                <c:pt idx="817">
                  <c:v>107.15</c:v>
                </c:pt>
                <c:pt idx="818">
                  <c:v>107.5</c:v>
                </c:pt>
                <c:pt idx="819">
                  <c:v>107.6</c:v>
                </c:pt>
                <c:pt idx="820">
                  <c:v>107.55</c:v>
                </c:pt>
                <c:pt idx="821">
                  <c:v>104.95</c:v>
                </c:pt>
                <c:pt idx="822">
                  <c:v>104.35</c:v>
                </c:pt>
                <c:pt idx="823">
                  <c:v>104.85</c:v>
                </c:pt>
                <c:pt idx="824">
                  <c:v>104.1</c:v>
                </c:pt>
                <c:pt idx="825">
                  <c:v>104.5</c:v>
                </c:pt>
                <c:pt idx="826">
                  <c:v>103.6</c:v>
                </c:pt>
                <c:pt idx="827">
                  <c:v>102.5</c:v>
                </c:pt>
                <c:pt idx="828">
                  <c:v>102.3</c:v>
                </c:pt>
                <c:pt idx="829">
                  <c:v>102.1</c:v>
                </c:pt>
                <c:pt idx="830">
                  <c:v>104.9</c:v>
                </c:pt>
                <c:pt idx="831">
                  <c:v>104.8</c:v>
                </c:pt>
                <c:pt idx="832">
                  <c:v>104.75</c:v>
                </c:pt>
                <c:pt idx="833">
                  <c:v>104.5</c:v>
                </c:pt>
                <c:pt idx="834">
                  <c:v>107</c:v>
                </c:pt>
                <c:pt idx="835">
                  <c:v>105.05</c:v>
                </c:pt>
                <c:pt idx="836">
                  <c:v>108.65</c:v>
                </c:pt>
                <c:pt idx="837">
                  <c:v>106.4</c:v>
                </c:pt>
                <c:pt idx="838">
                  <c:v>106.8</c:v>
                </c:pt>
                <c:pt idx="839">
                  <c:v>108.1</c:v>
                </c:pt>
                <c:pt idx="840">
                  <c:v>108.2</c:v>
                </c:pt>
                <c:pt idx="841">
                  <c:v>106.5</c:v>
                </c:pt>
                <c:pt idx="842">
                  <c:v>105.65</c:v>
                </c:pt>
                <c:pt idx="843">
                  <c:v>107</c:v>
                </c:pt>
                <c:pt idx="844">
                  <c:v>104.65</c:v>
                </c:pt>
                <c:pt idx="845">
                  <c:v>105.5</c:v>
                </c:pt>
                <c:pt idx="846">
                  <c:v>103.95</c:v>
                </c:pt>
                <c:pt idx="847">
                  <c:v>106.1</c:v>
                </c:pt>
                <c:pt idx="848">
                  <c:v>109.75</c:v>
                </c:pt>
                <c:pt idx="849">
                  <c:v>112.05</c:v>
                </c:pt>
                <c:pt idx="850">
                  <c:v>111.15</c:v>
                </c:pt>
                <c:pt idx="851">
                  <c:v>113.15</c:v>
                </c:pt>
                <c:pt idx="852">
                  <c:v>112.35</c:v>
                </c:pt>
                <c:pt idx="853">
                  <c:v>112.25</c:v>
                </c:pt>
                <c:pt idx="854">
                  <c:v>112</c:v>
                </c:pt>
                <c:pt idx="855">
                  <c:v>110.3</c:v>
                </c:pt>
                <c:pt idx="856">
                  <c:v>109.25</c:v>
                </c:pt>
                <c:pt idx="857">
                  <c:v>108.75</c:v>
                </c:pt>
                <c:pt idx="858">
                  <c:v>108.8</c:v>
                </c:pt>
                <c:pt idx="859">
                  <c:v>111.25</c:v>
                </c:pt>
                <c:pt idx="860">
                  <c:v>111.45</c:v>
                </c:pt>
                <c:pt idx="861">
                  <c:v>111.45</c:v>
                </c:pt>
                <c:pt idx="862">
                  <c:v>117.45</c:v>
                </c:pt>
                <c:pt idx="863">
                  <c:v>120.35</c:v>
                </c:pt>
                <c:pt idx="864">
                  <c:v>119.95</c:v>
                </c:pt>
                <c:pt idx="865">
                  <c:v>122.05</c:v>
                </c:pt>
                <c:pt idx="866">
                  <c:v>119.7</c:v>
                </c:pt>
                <c:pt idx="867">
                  <c:v>118.75</c:v>
                </c:pt>
                <c:pt idx="868">
                  <c:v>120.65</c:v>
                </c:pt>
                <c:pt idx="869">
                  <c:v>121</c:v>
                </c:pt>
                <c:pt idx="870">
                  <c:v>120.4</c:v>
                </c:pt>
                <c:pt idx="871">
                  <c:v>122</c:v>
                </c:pt>
                <c:pt idx="872">
                  <c:v>122.95</c:v>
                </c:pt>
                <c:pt idx="873">
                  <c:v>123.55</c:v>
                </c:pt>
                <c:pt idx="874">
                  <c:v>122.45</c:v>
                </c:pt>
                <c:pt idx="875">
                  <c:v>119.35</c:v>
                </c:pt>
                <c:pt idx="876">
                  <c:v>119.95</c:v>
                </c:pt>
                <c:pt idx="877">
                  <c:v>120.45</c:v>
                </c:pt>
                <c:pt idx="878">
                  <c:v>118.1</c:v>
                </c:pt>
                <c:pt idx="879">
                  <c:v>118.85</c:v>
                </c:pt>
                <c:pt idx="880">
                  <c:v>118.85</c:v>
                </c:pt>
                <c:pt idx="881">
                  <c:v>117.55</c:v>
                </c:pt>
                <c:pt idx="882">
                  <c:v>115.65</c:v>
                </c:pt>
                <c:pt idx="883">
                  <c:v>116.55</c:v>
                </c:pt>
                <c:pt idx="884">
                  <c:v>115.75</c:v>
                </c:pt>
                <c:pt idx="885">
                  <c:v>118.45</c:v>
                </c:pt>
                <c:pt idx="886">
                  <c:v>119.25</c:v>
                </c:pt>
                <c:pt idx="887">
                  <c:v>112.65</c:v>
                </c:pt>
                <c:pt idx="888">
                  <c:v>111.75</c:v>
                </c:pt>
                <c:pt idx="889">
                  <c:v>110</c:v>
                </c:pt>
                <c:pt idx="890">
                  <c:v>111.15</c:v>
                </c:pt>
                <c:pt idx="891">
                  <c:v>105</c:v>
                </c:pt>
                <c:pt idx="892">
                  <c:v>102.25</c:v>
                </c:pt>
                <c:pt idx="893">
                  <c:v>107.65</c:v>
                </c:pt>
                <c:pt idx="894">
                  <c:v>109.4</c:v>
                </c:pt>
                <c:pt idx="895">
                  <c:v>110.95</c:v>
                </c:pt>
                <c:pt idx="896">
                  <c:v>111.8</c:v>
                </c:pt>
                <c:pt idx="897">
                  <c:v>111.05</c:v>
                </c:pt>
                <c:pt idx="898">
                  <c:v>110.95</c:v>
                </c:pt>
                <c:pt idx="899">
                  <c:v>113.05</c:v>
                </c:pt>
                <c:pt idx="900">
                  <c:v>111.2</c:v>
                </c:pt>
                <c:pt idx="901">
                  <c:v>111.7</c:v>
                </c:pt>
                <c:pt idx="902">
                  <c:v>110.45</c:v>
                </c:pt>
                <c:pt idx="903">
                  <c:v>111.85</c:v>
                </c:pt>
                <c:pt idx="904">
                  <c:v>111.2</c:v>
                </c:pt>
                <c:pt idx="905">
                  <c:v>112.95</c:v>
                </c:pt>
                <c:pt idx="906">
                  <c:v>115.85</c:v>
                </c:pt>
                <c:pt idx="907">
                  <c:v>112</c:v>
                </c:pt>
                <c:pt idx="908">
                  <c:v>110.75</c:v>
                </c:pt>
                <c:pt idx="909">
                  <c:v>107.65</c:v>
                </c:pt>
                <c:pt idx="910">
                  <c:v>106.1</c:v>
                </c:pt>
                <c:pt idx="911">
                  <c:v>104.9</c:v>
                </c:pt>
                <c:pt idx="912">
                  <c:v>106.2</c:v>
                </c:pt>
                <c:pt idx="913">
                  <c:v>105.5</c:v>
                </c:pt>
                <c:pt idx="914">
                  <c:v>105.45</c:v>
                </c:pt>
                <c:pt idx="915">
                  <c:v>105.2</c:v>
                </c:pt>
                <c:pt idx="916">
                  <c:v>104.25</c:v>
                </c:pt>
                <c:pt idx="917">
                  <c:v>105.5</c:v>
                </c:pt>
                <c:pt idx="918">
                  <c:v>105.85</c:v>
                </c:pt>
                <c:pt idx="919">
                  <c:v>106.55</c:v>
                </c:pt>
                <c:pt idx="920">
                  <c:v>108.55</c:v>
                </c:pt>
                <c:pt idx="921">
                  <c:v>108.7</c:v>
                </c:pt>
                <c:pt idx="922">
                  <c:v>107.55</c:v>
                </c:pt>
                <c:pt idx="923">
                  <c:v>104.7</c:v>
                </c:pt>
                <c:pt idx="924">
                  <c:v>106.1</c:v>
                </c:pt>
                <c:pt idx="925">
                  <c:v>106.7</c:v>
                </c:pt>
                <c:pt idx="926">
                  <c:v>104.75</c:v>
                </c:pt>
                <c:pt idx="927">
                  <c:v>102</c:v>
                </c:pt>
                <c:pt idx="928">
                  <c:v>101.25</c:v>
                </c:pt>
                <c:pt idx="929">
                  <c:v>101.2</c:v>
                </c:pt>
                <c:pt idx="930">
                  <c:v>101.55</c:v>
                </c:pt>
                <c:pt idx="931">
                  <c:v>101.6</c:v>
                </c:pt>
                <c:pt idx="932">
                  <c:v>104.2</c:v>
                </c:pt>
                <c:pt idx="933">
                  <c:v>101.2</c:v>
                </c:pt>
                <c:pt idx="934">
                  <c:v>101.2</c:v>
                </c:pt>
                <c:pt idx="935">
                  <c:v>100.2</c:v>
                </c:pt>
                <c:pt idx="936">
                  <c:v>100.9</c:v>
                </c:pt>
                <c:pt idx="937">
                  <c:v>100.05</c:v>
                </c:pt>
                <c:pt idx="938">
                  <c:v>100.65</c:v>
                </c:pt>
                <c:pt idx="939">
                  <c:v>99.55</c:v>
                </c:pt>
                <c:pt idx="940">
                  <c:v>100.1</c:v>
                </c:pt>
                <c:pt idx="941">
                  <c:v>100.1</c:v>
                </c:pt>
                <c:pt idx="942">
                  <c:v>100.55</c:v>
                </c:pt>
                <c:pt idx="943">
                  <c:v>100.35</c:v>
                </c:pt>
                <c:pt idx="944">
                  <c:v>103.2</c:v>
                </c:pt>
                <c:pt idx="945">
                  <c:v>103.3</c:v>
                </c:pt>
                <c:pt idx="946">
                  <c:v>103.55</c:v>
                </c:pt>
                <c:pt idx="947">
                  <c:v>101.15</c:v>
                </c:pt>
                <c:pt idx="948">
                  <c:v>98.35</c:v>
                </c:pt>
                <c:pt idx="949">
                  <c:v>99.3</c:v>
                </c:pt>
                <c:pt idx="950">
                  <c:v>96.85</c:v>
                </c:pt>
                <c:pt idx="951">
                  <c:v>95.2</c:v>
                </c:pt>
                <c:pt idx="952">
                  <c:v>97.65</c:v>
                </c:pt>
                <c:pt idx="953">
                  <c:v>99.85</c:v>
                </c:pt>
                <c:pt idx="954">
                  <c:v>104.3</c:v>
                </c:pt>
                <c:pt idx="955">
                  <c:v>103.6</c:v>
                </c:pt>
                <c:pt idx="956">
                  <c:v>104.45</c:v>
                </c:pt>
                <c:pt idx="957">
                  <c:v>105.8</c:v>
                </c:pt>
                <c:pt idx="958">
                  <c:v>103.1</c:v>
                </c:pt>
                <c:pt idx="959">
                  <c:v>105.7</c:v>
                </c:pt>
                <c:pt idx="960">
                  <c:v>107</c:v>
                </c:pt>
                <c:pt idx="961">
                  <c:v>109.15</c:v>
                </c:pt>
                <c:pt idx="962">
                  <c:v>107.75</c:v>
                </c:pt>
                <c:pt idx="963">
                  <c:v>107.75</c:v>
                </c:pt>
                <c:pt idx="964">
                  <c:v>105.7</c:v>
                </c:pt>
                <c:pt idx="965">
                  <c:v>105.85</c:v>
                </c:pt>
                <c:pt idx="966">
                  <c:v>107.6</c:v>
                </c:pt>
                <c:pt idx="967">
                  <c:v>108.6</c:v>
                </c:pt>
                <c:pt idx="968">
                  <c:v>106.9</c:v>
                </c:pt>
                <c:pt idx="969">
                  <c:v>105.5</c:v>
                </c:pt>
                <c:pt idx="970">
                  <c:v>106.4</c:v>
                </c:pt>
                <c:pt idx="971">
                  <c:v>108.3</c:v>
                </c:pt>
                <c:pt idx="972">
                  <c:v>104.85</c:v>
                </c:pt>
                <c:pt idx="973">
                  <c:v>107.35</c:v>
                </c:pt>
                <c:pt idx="974">
                  <c:v>106.25</c:v>
                </c:pt>
                <c:pt idx="975">
                  <c:v>106.55</c:v>
                </c:pt>
                <c:pt idx="976">
                  <c:v>107.6</c:v>
                </c:pt>
                <c:pt idx="977">
                  <c:v>105.05</c:v>
                </c:pt>
                <c:pt idx="978">
                  <c:v>110.05</c:v>
                </c:pt>
                <c:pt idx="979">
                  <c:v>112.55</c:v>
                </c:pt>
                <c:pt idx="980">
                  <c:v>112.5</c:v>
                </c:pt>
                <c:pt idx="981">
                  <c:v>113</c:v>
                </c:pt>
                <c:pt idx="982">
                  <c:v>112.65</c:v>
                </c:pt>
                <c:pt idx="983">
                  <c:v>109.1</c:v>
                </c:pt>
                <c:pt idx="984">
                  <c:v>109.2</c:v>
                </c:pt>
                <c:pt idx="985">
                  <c:v>107.2</c:v>
                </c:pt>
                <c:pt idx="986">
                  <c:v>107.35</c:v>
                </c:pt>
                <c:pt idx="987">
                  <c:v>107.7</c:v>
                </c:pt>
                <c:pt idx="988">
                  <c:v>107.05</c:v>
                </c:pt>
                <c:pt idx="989">
                  <c:v>107</c:v>
                </c:pt>
              </c:numCache>
            </c:numRef>
          </c:val>
          <c:smooth val="0"/>
          <c:extLst>
            <c:ext xmlns:c16="http://schemas.microsoft.com/office/drawing/2014/chart" uri="{C3380CC4-5D6E-409C-BE32-E72D297353CC}">
              <c16:uniqueId val="{00000000-B73E-49AB-9D12-F6C196FDDC2B}"/>
            </c:ext>
          </c:extLst>
        </c:ser>
        <c:dLbls>
          <c:showLegendKey val="0"/>
          <c:showVal val="0"/>
          <c:showCatName val="0"/>
          <c:showSerName val="0"/>
          <c:showPercent val="0"/>
          <c:showBubbleSize val="0"/>
        </c:dLbls>
        <c:smooth val="0"/>
        <c:axId val="384564352"/>
        <c:axId val="1801374383"/>
      </c:lineChart>
      <c:dateAx>
        <c:axId val="384564352"/>
        <c:scaling>
          <c:orientation val="minMax"/>
        </c:scaling>
        <c:delete val="1"/>
        <c:axPos val="b"/>
        <c:numFmt formatCode="m/d/yyyy" sourceLinked="1"/>
        <c:majorTickMark val="out"/>
        <c:minorTickMark val="none"/>
        <c:tickLblPos val="nextTo"/>
        <c:crossAx val="1801374383"/>
        <c:crosses val="autoZero"/>
        <c:auto val="1"/>
        <c:lblOffset val="100"/>
        <c:baseTimeUnit val="days"/>
      </c:dateAx>
      <c:valAx>
        <c:axId val="180137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64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5Y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Sheet3!$C$1</c:f>
              <c:strCache>
                <c:ptCount val="1"/>
                <c:pt idx="0">
                  <c:v>Vol.</c:v>
                </c:pt>
              </c:strCache>
            </c:strRef>
          </c:tx>
          <c:spPr>
            <a:ln w="28575" cap="rnd">
              <a:solidFill>
                <a:srgbClr val="002060"/>
              </a:solidFill>
              <a:round/>
            </a:ln>
            <a:effectLst/>
          </c:spPr>
          <c:marker>
            <c:symbol val="none"/>
          </c:marker>
          <c:cat>
            <c:numRef>
              <c:f>Sheet3!$A$2:$A$991</c:f>
              <c:numCache>
                <c:formatCode>m/d/yyyy</c:formatCode>
                <c:ptCount val="990"/>
                <c:pt idx="0">
                  <c:v>46234</c:v>
                </c:pt>
                <c:pt idx="1">
                  <c:v>46233</c:v>
                </c:pt>
                <c:pt idx="2">
                  <c:v>46232</c:v>
                </c:pt>
                <c:pt idx="3">
                  <c:v>46231</c:v>
                </c:pt>
                <c:pt idx="4">
                  <c:v>46230</c:v>
                </c:pt>
                <c:pt idx="5">
                  <c:v>46227</c:v>
                </c:pt>
                <c:pt idx="6">
                  <c:v>46226</c:v>
                </c:pt>
                <c:pt idx="7">
                  <c:v>46225</c:v>
                </c:pt>
                <c:pt idx="8">
                  <c:v>46224</c:v>
                </c:pt>
                <c:pt idx="9">
                  <c:v>46223</c:v>
                </c:pt>
                <c:pt idx="10">
                  <c:v>46220</c:v>
                </c:pt>
                <c:pt idx="11">
                  <c:v>46219</c:v>
                </c:pt>
                <c:pt idx="12">
                  <c:v>46218</c:v>
                </c:pt>
                <c:pt idx="13">
                  <c:v>46217</c:v>
                </c:pt>
                <c:pt idx="14">
                  <c:v>46216</c:v>
                </c:pt>
                <c:pt idx="15">
                  <c:v>46213</c:v>
                </c:pt>
                <c:pt idx="16">
                  <c:v>46212</c:v>
                </c:pt>
                <c:pt idx="17">
                  <c:v>46211</c:v>
                </c:pt>
                <c:pt idx="18">
                  <c:v>46210</c:v>
                </c:pt>
                <c:pt idx="19">
                  <c:v>46209</c:v>
                </c:pt>
                <c:pt idx="20">
                  <c:v>46206</c:v>
                </c:pt>
                <c:pt idx="21">
                  <c:v>46205</c:v>
                </c:pt>
                <c:pt idx="22">
                  <c:v>46204</c:v>
                </c:pt>
                <c:pt idx="23">
                  <c:v>46203</c:v>
                </c:pt>
                <c:pt idx="24">
                  <c:v>46202</c:v>
                </c:pt>
                <c:pt idx="25">
                  <c:v>46198</c:v>
                </c:pt>
                <c:pt idx="26">
                  <c:v>46197</c:v>
                </c:pt>
                <c:pt idx="27">
                  <c:v>46196</c:v>
                </c:pt>
                <c:pt idx="28">
                  <c:v>46195</c:v>
                </c:pt>
                <c:pt idx="29">
                  <c:v>46192</c:v>
                </c:pt>
                <c:pt idx="30">
                  <c:v>46191</c:v>
                </c:pt>
                <c:pt idx="31">
                  <c:v>46190</c:v>
                </c:pt>
                <c:pt idx="32">
                  <c:v>46189</c:v>
                </c:pt>
                <c:pt idx="33">
                  <c:v>46188</c:v>
                </c:pt>
                <c:pt idx="34">
                  <c:v>46185</c:v>
                </c:pt>
                <c:pt idx="35">
                  <c:v>46184</c:v>
                </c:pt>
                <c:pt idx="36">
                  <c:v>46183</c:v>
                </c:pt>
                <c:pt idx="37">
                  <c:v>46182</c:v>
                </c:pt>
                <c:pt idx="38">
                  <c:v>46181</c:v>
                </c:pt>
                <c:pt idx="39">
                  <c:v>46178</c:v>
                </c:pt>
                <c:pt idx="40">
                  <c:v>46177</c:v>
                </c:pt>
                <c:pt idx="41">
                  <c:v>46176</c:v>
                </c:pt>
                <c:pt idx="42">
                  <c:v>46175</c:v>
                </c:pt>
                <c:pt idx="43">
                  <c:v>46174</c:v>
                </c:pt>
                <c:pt idx="44">
                  <c:v>46171</c:v>
                </c:pt>
                <c:pt idx="45">
                  <c:v>46169</c:v>
                </c:pt>
                <c:pt idx="46">
                  <c:v>46168</c:v>
                </c:pt>
                <c:pt idx="47">
                  <c:v>46167</c:v>
                </c:pt>
                <c:pt idx="48">
                  <c:v>46164</c:v>
                </c:pt>
                <c:pt idx="49">
                  <c:v>46163</c:v>
                </c:pt>
                <c:pt idx="50">
                  <c:v>46162</c:v>
                </c:pt>
                <c:pt idx="51">
                  <c:v>46161</c:v>
                </c:pt>
                <c:pt idx="52">
                  <c:v>46160</c:v>
                </c:pt>
                <c:pt idx="53">
                  <c:v>46157</c:v>
                </c:pt>
                <c:pt idx="54">
                  <c:v>46156</c:v>
                </c:pt>
                <c:pt idx="55">
                  <c:v>46155</c:v>
                </c:pt>
                <c:pt idx="56">
                  <c:v>46154</c:v>
                </c:pt>
                <c:pt idx="57">
                  <c:v>46153</c:v>
                </c:pt>
                <c:pt idx="58">
                  <c:v>46150</c:v>
                </c:pt>
                <c:pt idx="59">
                  <c:v>46149</c:v>
                </c:pt>
                <c:pt idx="60">
                  <c:v>46148</c:v>
                </c:pt>
                <c:pt idx="61">
                  <c:v>46147</c:v>
                </c:pt>
                <c:pt idx="62">
                  <c:v>46146</c:v>
                </c:pt>
                <c:pt idx="63">
                  <c:v>46142</c:v>
                </c:pt>
                <c:pt idx="64">
                  <c:v>46141</c:v>
                </c:pt>
                <c:pt idx="65">
                  <c:v>46140</c:v>
                </c:pt>
                <c:pt idx="66">
                  <c:v>46139</c:v>
                </c:pt>
                <c:pt idx="67">
                  <c:v>46136</c:v>
                </c:pt>
                <c:pt idx="68">
                  <c:v>46135</c:v>
                </c:pt>
                <c:pt idx="69">
                  <c:v>46134</c:v>
                </c:pt>
                <c:pt idx="70">
                  <c:v>46133</c:v>
                </c:pt>
                <c:pt idx="71">
                  <c:v>46132</c:v>
                </c:pt>
                <c:pt idx="72">
                  <c:v>46129</c:v>
                </c:pt>
                <c:pt idx="73">
                  <c:v>46128</c:v>
                </c:pt>
                <c:pt idx="74">
                  <c:v>46127</c:v>
                </c:pt>
                <c:pt idx="75">
                  <c:v>46125</c:v>
                </c:pt>
                <c:pt idx="76">
                  <c:v>46122</c:v>
                </c:pt>
                <c:pt idx="77">
                  <c:v>46121</c:v>
                </c:pt>
                <c:pt idx="78">
                  <c:v>46120</c:v>
                </c:pt>
                <c:pt idx="79">
                  <c:v>46119</c:v>
                </c:pt>
                <c:pt idx="80">
                  <c:v>46118</c:v>
                </c:pt>
                <c:pt idx="81">
                  <c:v>46114</c:v>
                </c:pt>
                <c:pt idx="82">
                  <c:v>46113</c:v>
                </c:pt>
                <c:pt idx="83">
                  <c:v>46111</c:v>
                </c:pt>
                <c:pt idx="84">
                  <c:v>46108</c:v>
                </c:pt>
                <c:pt idx="85">
                  <c:v>46106</c:v>
                </c:pt>
                <c:pt idx="86">
                  <c:v>46105</c:v>
                </c:pt>
                <c:pt idx="87">
                  <c:v>46104</c:v>
                </c:pt>
                <c:pt idx="88">
                  <c:v>46101</c:v>
                </c:pt>
                <c:pt idx="89">
                  <c:v>46100</c:v>
                </c:pt>
                <c:pt idx="90">
                  <c:v>46099</c:v>
                </c:pt>
                <c:pt idx="91">
                  <c:v>46098</c:v>
                </c:pt>
                <c:pt idx="92">
                  <c:v>46097</c:v>
                </c:pt>
                <c:pt idx="93">
                  <c:v>46094</c:v>
                </c:pt>
                <c:pt idx="94">
                  <c:v>46093</c:v>
                </c:pt>
                <c:pt idx="95">
                  <c:v>46092</c:v>
                </c:pt>
                <c:pt idx="96">
                  <c:v>46091</c:v>
                </c:pt>
                <c:pt idx="97">
                  <c:v>46090</c:v>
                </c:pt>
                <c:pt idx="98">
                  <c:v>46087</c:v>
                </c:pt>
                <c:pt idx="99">
                  <c:v>46086</c:v>
                </c:pt>
                <c:pt idx="100">
                  <c:v>46085</c:v>
                </c:pt>
                <c:pt idx="101">
                  <c:v>46083</c:v>
                </c:pt>
                <c:pt idx="102">
                  <c:v>46080</c:v>
                </c:pt>
                <c:pt idx="103">
                  <c:v>46079</c:v>
                </c:pt>
                <c:pt idx="104">
                  <c:v>46078</c:v>
                </c:pt>
                <c:pt idx="105">
                  <c:v>46077</c:v>
                </c:pt>
                <c:pt idx="106">
                  <c:v>46076</c:v>
                </c:pt>
                <c:pt idx="107">
                  <c:v>46073</c:v>
                </c:pt>
                <c:pt idx="108">
                  <c:v>46072</c:v>
                </c:pt>
                <c:pt idx="109">
                  <c:v>46071</c:v>
                </c:pt>
                <c:pt idx="110">
                  <c:v>46070</c:v>
                </c:pt>
                <c:pt idx="111">
                  <c:v>46069</c:v>
                </c:pt>
                <c:pt idx="112">
                  <c:v>46066</c:v>
                </c:pt>
                <c:pt idx="113">
                  <c:v>46065</c:v>
                </c:pt>
                <c:pt idx="114">
                  <c:v>46064</c:v>
                </c:pt>
                <c:pt idx="115">
                  <c:v>46063</c:v>
                </c:pt>
                <c:pt idx="116">
                  <c:v>46062</c:v>
                </c:pt>
                <c:pt idx="117">
                  <c:v>46059</c:v>
                </c:pt>
                <c:pt idx="118">
                  <c:v>46058</c:v>
                </c:pt>
                <c:pt idx="119">
                  <c:v>46057</c:v>
                </c:pt>
                <c:pt idx="120">
                  <c:v>46056</c:v>
                </c:pt>
                <c:pt idx="121">
                  <c:v>46055</c:v>
                </c:pt>
                <c:pt idx="122">
                  <c:v>46054</c:v>
                </c:pt>
                <c:pt idx="123">
                  <c:v>46052</c:v>
                </c:pt>
                <c:pt idx="124">
                  <c:v>46051</c:v>
                </c:pt>
                <c:pt idx="125">
                  <c:v>46050</c:v>
                </c:pt>
                <c:pt idx="126">
                  <c:v>46049</c:v>
                </c:pt>
                <c:pt idx="127">
                  <c:v>46045</c:v>
                </c:pt>
                <c:pt idx="128">
                  <c:v>46044</c:v>
                </c:pt>
                <c:pt idx="129">
                  <c:v>46043</c:v>
                </c:pt>
                <c:pt idx="130">
                  <c:v>46042</c:v>
                </c:pt>
                <c:pt idx="131">
                  <c:v>46041</c:v>
                </c:pt>
                <c:pt idx="132">
                  <c:v>46038</c:v>
                </c:pt>
                <c:pt idx="133">
                  <c:v>46036</c:v>
                </c:pt>
                <c:pt idx="134">
                  <c:v>46035</c:v>
                </c:pt>
                <c:pt idx="135">
                  <c:v>46034</c:v>
                </c:pt>
                <c:pt idx="136">
                  <c:v>46031</c:v>
                </c:pt>
                <c:pt idx="137">
                  <c:v>46030</c:v>
                </c:pt>
                <c:pt idx="138">
                  <c:v>46029</c:v>
                </c:pt>
                <c:pt idx="139">
                  <c:v>46028</c:v>
                </c:pt>
                <c:pt idx="140">
                  <c:v>46027</c:v>
                </c:pt>
                <c:pt idx="141">
                  <c:v>46024</c:v>
                </c:pt>
                <c:pt idx="142">
                  <c:v>46023</c:v>
                </c:pt>
                <c:pt idx="143">
                  <c:v>46022</c:v>
                </c:pt>
                <c:pt idx="144">
                  <c:v>46021</c:v>
                </c:pt>
                <c:pt idx="145">
                  <c:v>46020</c:v>
                </c:pt>
                <c:pt idx="146">
                  <c:v>46017</c:v>
                </c:pt>
                <c:pt idx="147">
                  <c:v>46015</c:v>
                </c:pt>
                <c:pt idx="148">
                  <c:v>46014</c:v>
                </c:pt>
                <c:pt idx="149">
                  <c:v>46013</c:v>
                </c:pt>
                <c:pt idx="150">
                  <c:v>46010</c:v>
                </c:pt>
                <c:pt idx="151">
                  <c:v>46009</c:v>
                </c:pt>
                <c:pt idx="152">
                  <c:v>46008</c:v>
                </c:pt>
                <c:pt idx="153">
                  <c:v>46007</c:v>
                </c:pt>
                <c:pt idx="154">
                  <c:v>46006</c:v>
                </c:pt>
                <c:pt idx="155">
                  <c:v>46003</c:v>
                </c:pt>
                <c:pt idx="156">
                  <c:v>46002</c:v>
                </c:pt>
                <c:pt idx="157">
                  <c:v>46001</c:v>
                </c:pt>
                <c:pt idx="158">
                  <c:v>46000</c:v>
                </c:pt>
                <c:pt idx="159">
                  <c:v>45999</c:v>
                </c:pt>
                <c:pt idx="160">
                  <c:v>45996</c:v>
                </c:pt>
                <c:pt idx="161">
                  <c:v>45995</c:v>
                </c:pt>
                <c:pt idx="162">
                  <c:v>45994</c:v>
                </c:pt>
                <c:pt idx="163">
                  <c:v>45993</c:v>
                </c:pt>
                <c:pt idx="164">
                  <c:v>45992</c:v>
                </c:pt>
                <c:pt idx="165">
                  <c:v>45989</c:v>
                </c:pt>
                <c:pt idx="166">
                  <c:v>45988</c:v>
                </c:pt>
                <c:pt idx="167">
                  <c:v>45987</c:v>
                </c:pt>
                <c:pt idx="168">
                  <c:v>45986</c:v>
                </c:pt>
                <c:pt idx="169">
                  <c:v>45985</c:v>
                </c:pt>
                <c:pt idx="170">
                  <c:v>45982</c:v>
                </c:pt>
                <c:pt idx="171">
                  <c:v>45981</c:v>
                </c:pt>
                <c:pt idx="172">
                  <c:v>45980</c:v>
                </c:pt>
                <c:pt idx="173">
                  <c:v>45979</c:v>
                </c:pt>
                <c:pt idx="174">
                  <c:v>45978</c:v>
                </c:pt>
                <c:pt idx="175">
                  <c:v>45975</c:v>
                </c:pt>
                <c:pt idx="176">
                  <c:v>45974</c:v>
                </c:pt>
                <c:pt idx="177">
                  <c:v>45973</c:v>
                </c:pt>
                <c:pt idx="178">
                  <c:v>45972</c:v>
                </c:pt>
                <c:pt idx="179">
                  <c:v>45971</c:v>
                </c:pt>
                <c:pt idx="180">
                  <c:v>45968</c:v>
                </c:pt>
                <c:pt idx="181">
                  <c:v>45967</c:v>
                </c:pt>
                <c:pt idx="182">
                  <c:v>45965</c:v>
                </c:pt>
                <c:pt idx="183">
                  <c:v>45964</c:v>
                </c:pt>
                <c:pt idx="184">
                  <c:v>45961</c:v>
                </c:pt>
                <c:pt idx="185">
                  <c:v>45960</c:v>
                </c:pt>
                <c:pt idx="186">
                  <c:v>45959</c:v>
                </c:pt>
                <c:pt idx="187">
                  <c:v>45958</c:v>
                </c:pt>
                <c:pt idx="188">
                  <c:v>45957</c:v>
                </c:pt>
                <c:pt idx="189">
                  <c:v>45954</c:v>
                </c:pt>
                <c:pt idx="190">
                  <c:v>45953</c:v>
                </c:pt>
                <c:pt idx="191">
                  <c:v>45951</c:v>
                </c:pt>
                <c:pt idx="192">
                  <c:v>45950</c:v>
                </c:pt>
                <c:pt idx="193">
                  <c:v>45947</c:v>
                </c:pt>
                <c:pt idx="194">
                  <c:v>45946</c:v>
                </c:pt>
                <c:pt idx="195">
                  <c:v>45945</c:v>
                </c:pt>
                <c:pt idx="196">
                  <c:v>45944</c:v>
                </c:pt>
                <c:pt idx="197">
                  <c:v>45943</c:v>
                </c:pt>
                <c:pt idx="198">
                  <c:v>45940</c:v>
                </c:pt>
                <c:pt idx="199">
                  <c:v>45939</c:v>
                </c:pt>
                <c:pt idx="200">
                  <c:v>45938</c:v>
                </c:pt>
                <c:pt idx="201">
                  <c:v>45937</c:v>
                </c:pt>
                <c:pt idx="202">
                  <c:v>45936</c:v>
                </c:pt>
                <c:pt idx="203">
                  <c:v>45933</c:v>
                </c:pt>
                <c:pt idx="204">
                  <c:v>45931</c:v>
                </c:pt>
                <c:pt idx="205">
                  <c:v>45930</c:v>
                </c:pt>
                <c:pt idx="206">
                  <c:v>45929</c:v>
                </c:pt>
                <c:pt idx="207">
                  <c:v>45926</c:v>
                </c:pt>
                <c:pt idx="208">
                  <c:v>45925</c:v>
                </c:pt>
                <c:pt idx="209">
                  <c:v>45924</c:v>
                </c:pt>
                <c:pt idx="210">
                  <c:v>45923</c:v>
                </c:pt>
                <c:pt idx="211">
                  <c:v>45922</c:v>
                </c:pt>
                <c:pt idx="212">
                  <c:v>45919</c:v>
                </c:pt>
                <c:pt idx="213">
                  <c:v>45918</c:v>
                </c:pt>
                <c:pt idx="214">
                  <c:v>45917</c:v>
                </c:pt>
                <c:pt idx="215">
                  <c:v>45916</c:v>
                </c:pt>
                <c:pt idx="216">
                  <c:v>45915</c:v>
                </c:pt>
                <c:pt idx="217">
                  <c:v>45912</c:v>
                </c:pt>
                <c:pt idx="218">
                  <c:v>45911</c:v>
                </c:pt>
                <c:pt idx="219">
                  <c:v>45910</c:v>
                </c:pt>
                <c:pt idx="220">
                  <c:v>45909</c:v>
                </c:pt>
                <c:pt idx="221">
                  <c:v>45908</c:v>
                </c:pt>
                <c:pt idx="222">
                  <c:v>45905</c:v>
                </c:pt>
                <c:pt idx="223">
                  <c:v>45904</c:v>
                </c:pt>
                <c:pt idx="224">
                  <c:v>45903</c:v>
                </c:pt>
                <c:pt idx="225">
                  <c:v>45902</c:v>
                </c:pt>
                <c:pt idx="226">
                  <c:v>45901</c:v>
                </c:pt>
                <c:pt idx="227">
                  <c:v>45898</c:v>
                </c:pt>
                <c:pt idx="228">
                  <c:v>45897</c:v>
                </c:pt>
                <c:pt idx="229">
                  <c:v>45895</c:v>
                </c:pt>
                <c:pt idx="230">
                  <c:v>45894</c:v>
                </c:pt>
                <c:pt idx="231">
                  <c:v>45891</c:v>
                </c:pt>
                <c:pt idx="232">
                  <c:v>45890</c:v>
                </c:pt>
                <c:pt idx="233">
                  <c:v>45889</c:v>
                </c:pt>
                <c:pt idx="234">
                  <c:v>45888</c:v>
                </c:pt>
                <c:pt idx="235">
                  <c:v>45887</c:v>
                </c:pt>
                <c:pt idx="236">
                  <c:v>45883</c:v>
                </c:pt>
                <c:pt idx="237">
                  <c:v>45882</c:v>
                </c:pt>
                <c:pt idx="238">
                  <c:v>45881</c:v>
                </c:pt>
                <c:pt idx="239">
                  <c:v>45880</c:v>
                </c:pt>
                <c:pt idx="240">
                  <c:v>45877</c:v>
                </c:pt>
                <c:pt idx="241">
                  <c:v>45876</c:v>
                </c:pt>
                <c:pt idx="242">
                  <c:v>45875</c:v>
                </c:pt>
                <c:pt idx="243">
                  <c:v>45874</c:v>
                </c:pt>
                <c:pt idx="244">
                  <c:v>45873</c:v>
                </c:pt>
                <c:pt idx="245">
                  <c:v>45870</c:v>
                </c:pt>
                <c:pt idx="246">
                  <c:v>45869</c:v>
                </c:pt>
                <c:pt idx="247">
                  <c:v>45868</c:v>
                </c:pt>
                <c:pt idx="248">
                  <c:v>45867</c:v>
                </c:pt>
                <c:pt idx="249">
                  <c:v>45866</c:v>
                </c:pt>
                <c:pt idx="250">
                  <c:v>45863</c:v>
                </c:pt>
                <c:pt idx="251">
                  <c:v>45862</c:v>
                </c:pt>
                <c:pt idx="252">
                  <c:v>45861</c:v>
                </c:pt>
                <c:pt idx="253">
                  <c:v>45860</c:v>
                </c:pt>
                <c:pt idx="254">
                  <c:v>45859</c:v>
                </c:pt>
                <c:pt idx="255">
                  <c:v>45856</c:v>
                </c:pt>
                <c:pt idx="256">
                  <c:v>45855</c:v>
                </c:pt>
                <c:pt idx="257">
                  <c:v>45854</c:v>
                </c:pt>
                <c:pt idx="258">
                  <c:v>45853</c:v>
                </c:pt>
                <c:pt idx="259">
                  <c:v>45852</c:v>
                </c:pt>
                <c:pt idx="260">
                  <c:v>45849</c:v>
                </c:pt>
                <c:pt idx="261">
                  <c:v>45848</c:v>
                </c:pt>
                <c:pt idx="262">
                  <c:v>45847</c:v>
                </c:pt>
                <c:pt idx="263">
                  <c:v>45846</c:v>
                </c:pt>
                <c:pt idx="264">
                  <c:v>45845</c:v>
                </c:pt>
                <c:pt idx="265">
                  <c:v>45842</c:v>
                </c:pt>
                <c:pt idx="266">
                  <c:v>45841</c:v>
                </c:pt>
                <c:pt idx="267">
                  <c:v>45840</c:v>
                </c:pt>
                <c:pt idx="268">
                  <c:v>45839</c:v>
                </c:pt>
                <c:pt idx="269">
                  <c:v>45838</c:v>
                </c:pt>
                <c:pt idx="270">
                  <c:v>45835</c:v>
                </c:pt>
                <c:pt idx="271">
                  <c:v>45834</c:v>
                </c:pt>
                <c:pt idx="272">
                  <c:v>45833</c:v>
                </c:pt>
                <c:pt idx="273">
                  <c:v>45832</c:v>
                </c:pt>
                <c:pt idx="274">
                  <c:v>45831</c:v>
                </c:pt>
                <c:pt idx="275">
                  <c:v>45828</c:v>
                </c:pt>
                <c:pt idx="276">
                  <c:v>45827</c:v>
                </c:pt>
                <c:pt idx="277">
                  <c:v>45826</c:v>
                </c:pt>
                <c:pt idx="278">
                  <c:v>45825</c:v>
                </c:pt>
                <c:pt idx="279">
                  <c:v>45824</c:v>
                </c:pt>
                <c:pt idx="280">
                  <c:v>45821</c:v>
                </c:pt>
                <c:pt idx="281">
                  <c:v>45820</c:v>
                </c:pt>
                <c:pt idx="282">
                  <c:v>45819</c:v>
                </c:pt>
                <c:pt idx="283">
                  <c:v>45818</c:v>
                </c:pt>
                <c:pt idx="284">
                  <c:v>45817</c:v>
                </c:pt>
                <c:pt idx="285">
                  <c:v>45814</c:v>
                </c:pt>
                <c:pt idx="286">
                  <c:v>45813</c:v>
                </c:pt>
                <c:pt idx="287">
                  <c:v>45812</c:v>
                </c:pt>
                <c:pt idx="288">
                  <c:v>45811</c:v>
                </c:pt>
                <c:pt idx="289">
                  <c:v>45810</c:v>
                </c:pt>
                <c:pt idx="290">
                  <c:v>45807</c:v>
                </c:pt>
                <c:pt idx="291">
                  <c:v>45806</c:v>
                </c:pt>
                <c:pt idx="292">
                  <c:v>45805</c:v>
                </c:pt>
                <c:pt idx="293">
                  <c:v>45804</c:v>
                </c:pt>
                <c:pt idx="294">
                  <c:v>45803</c:v>
                </c:pt>
                <c:pt idx="295">
                  <c:v>45800</c:v>
                </c:pt>
                <c:pt idx="296">
                  <c:v>45799</c:v>
                </c:pt>
                <c:pt idx="297">
                  <c:v>45798</c:v>
                </c:pt>
                <c:pt idx="298">
                  <c:v>45797</c:v>
                </c:pt>
                <c:pt idx="299">
                  <c:v>45796</c:v>
                </c:pt>
                <c:pt idx="300">
                  <c:v>45793</c:v>
                </c:pt>
                <c:pt idx="301">
                  <c:v>45792</c:v>
                </c:pt>
                <c:pt idx="302">
                  <c:v>45791</c:v>
                </c:pt>
                <c:pt idx="303">
                  <c:v>45790</c:v>
                </c:pt>
                <c:pt idx="304">
                  <c:v>45789</c:v>
                </c:pt>
                <c:pt idx="305">
                  <c:v>45786</c:v>
                </c:pt>
                <c:pt idx="306">
                  <c:v>45785</c:v>
                </c:pt>
                <c:pt idx="307">
                  <c:v>45784</c:v>
                </c:pt>
                <c:pt idx="308">
                  <c:v>45783</c:v>
                </c:pt>
                <c:pt idx="309">
                  <c:v>45782</c:v>
                </c:pt>
                <c:pt idx="310">
                  <c:v>45779</c:v>
                </c:pt>
                <c:pt idx="311">
                  <c:v>45777</c:v>
                </c:pt>
                <c:pt idx="312">
                  <c:v>45776</c:v>
                </c:pt>
                <c:pt idx="313">
                  <c:v>45775</c:v>
                </c:pt>
                <c:pt idx="314">
                  <c:v>45772</c:v>
                </c:pt>
                <c:pt idx="315">
                  <c:v>45771</c:v>
                </c:pt>
                <c:pt idx="316">
                  <c:v>45770</c:v>
                </c:pt>
                <c:pt idx="317">
                  <c:v>45769</c:v>
                </c:pt>
                <c:pt idx="318">
                  <c:v>45768</c:v>
                </c:pt>
                <c:pt idx="319">
                  <c:v>45764</c:v>
                </c:pt>
                <c:pt idx="320">
                  <c:v>45763</c:v>
                </c:pt>
                <c:pt idx="321">
                  <c:v>45762</c:v>
                </c:pt>
                <c:pt idx="322">
                  <c:v>45758</c:v>
                </c:pt>
                <c:pt idx="323">
                  <c:v>45756</c:v>
                </c:pt>
                <c:pt idx="324">
                  <c:v>45755</c:v>
                </c:pt>
                <c:pt idx="325">
                  <c:v>45754</c:v>
                </c:pt>
                <c:pt idx="326">
                  <c:v>45751</c:v>
                </c:pt>
                <c:pt idx="327">
                  <c:v>45750</c:v>
                </c:pt>
                <c:pt idx="328">
                  <c:v>45749</c:v>
                </c:pt>
                <c:pt idx="329">
                  <c:v>45748</c:v>
                </c:pt>
                <c:pt idx="330">
                  <c:v>45744</c:v>
                </c:pt>
                <c:pt idx="331">
                  <c:v>45743</c:v>
                </c:pt>
                <c:pt idx="332">
                  <c:v>45742</c:v>
                </c:pt>
                <c:pt idx="333">
                  <c:v>45741</c:v>
                </c:pt>
                <c:pt idx="334">
                  <c:v>45740</c:v>
                </c:pt>
                <c:pt idx="335">
                  <c:v>45737</c:v>
                </c:pt>
                <c:pt idx="336">
                  <c:v>45736</c:v>
                </c:pt>
                <c:pt idx="337">
                  <c:v>45735</c:v>
                </c:pt>
                <c:pt idx="338">
                  <c:v>45734</c:v>
                </c:pt>
                <c:pt idx="339">
                  <c:v>45733</c:v>
                </c:pt>
                <c:pt idx="340">
                  <c:v>45729</c:v>
                </c:pt>
                <c:pt idx="341">
                  <c:v>45728</c:v>
                </c:pt>
                <c:pt idx="342">
                  <c:v>45727</c:v>
                </c:pt>
                <c:pt idx="343">
                  <c:v>45726</c:v>
                </c:pt>
                <c:pt idx="344">
                  <c:v>45723</c:v>
                </c:pt>
                <c:pt idx="345">
                  <c:v>45722</c:v>
                </c:pt>
                <c:pt idx="346">
                  <c:v>45721</c:v>
                </c:pt>
                <c:pt idx="347">
                  <c:v>45720</c:v>
                </c:pt>
                <c:pt idx="348">
                  <c:v>45719</c:v>
                </c:pt>
                <c:pt idx="349">
                  <c:v>45716</c:v>
                </c:pt>
                <c:pt idx="350">
                  <c:v>45715</c:v>
                </c:pt>
                <c:pt idx="351">
                  <c:v>45713</c:v>
                </c:pt>
                <c:pt idx="352">
                  <c:v>45712</c:v>
                </c:pt>
                <c:pt idx="353">
                  <c:v>45709</c:v>
                </c:pt>
                <c:pt idx="354">
                  <c:v>45708</c:v>
                </c:pt>
                <c:pt idx="355">
                  <c:v>45707</c:v>
                </c:pt>
                <c:pt idx="356">
                  <c:v>45706</c:v>
                </c:pt>
                <c:pt idx="357">
                  <c:v>45705</c:v>
                </c:pt>
                <c:pt idx="358">
                  <c:v>45702</c:v>
                </c:pt>
                <c:pt idx="359">
                  <c:v>45701</c:v>
                </c:pt>
                <c:pt idx="360">
                  <c:v>45700</c:v>
                </c:pt>
                <c:pt idx="361">
                  <c:v>45699</c:v>
                </c:pt>
                <c:pt idx="362">
                  <c:v>45698</c:v>
                </c:pt>
                <c:pt idx="363">
                  <c:v>45695</c:v>
                </c:pt>
                <c:pt idx="364">
                  <c:v>45694</c:v>
                </c:pt>
                <c:pt idx="365">
                  <c:v>45693</c:v>
                </c:pt>
                <c:pt idx="366">
                  <c:v>45692</c:v>
                </c:pt>
                <c:pt idx="367">
                  <c:v>45691</c:v>
                </c:pt>
                <c:pt idx="368">
                  <c:v>45689</c:v>
                </c:pt>
                <c:pt idx="369">
                  <c:v>45688</c:v>
                </c:pt>
                <c:pt idx="370">
                  <c:v>45687</c:v>
                </c:pt>
                <c:pt idx="371">
                  <c:v>45686</c:v>
                </c:pt>
                <c:pt idx="372">
                  <c:v>45685</c:v>
                </c:pt>
                <c:pt idx="373">
                  <c:v>45684</c:v>
                </c:pt>
                <c:pt idx="374">
                  <c:v>45681</c:v>
                </c:pt>
                <c:pt idx="375">
                  <c:v>45680</c:v>
                </c:pt>
                <c:pt idx="376">
                  <c:v>45679</c:v>
                </c:pt>
                <c:pt idx="377">
                  <c:v>45678</c:v>
                </c:pt>
                <c:pt idx="378">
                  <c:v>45677</c:v>
                </c:pt>
                <c:pt idx="379">
                  <c:v>45674</c:v>
                </c:pt>
                <c:pt idx="380">
                  <c:v>45673</c:v>
                </c:pt>
                <c:pt idx="381">
                  <c:v>45672</c:v>
                </c:pt>
                <c:pt idx="382">
                  <c:v>45671</c:v>
                </c:pt>
                <c:pt idx="383">
                  <c:v>45670</c:v>
                </c:pt>
                <c:pt idx="384">
                  <c:v>45667</c:v>
                </c:pt>
                <c:pt idx="385">
                  <c:v>45666</c:v>
                </c:pt>
                <c:pt idx="386">
                  <c:v>45665</c:v>
                </c:pt>
                <c:pt idx="387">
                  <c:v>45664</c:v>
                </c:pt>
                <c:pt idx="388">
                  <c:v>45663</c:v>
                </c:pt>
                <c:pt idx="389">
                  <c:v>45660</c:v>
                </c:pt>
                <c:pt idx="390">
                  <c:v>45659</c:v>
                </c:pt>
                <c:pt idx="391">
                  <c:v>45658</c:v>
                </c:pt>
                <c:pt idx="392">
                  <c:v>45657</c:v>
                </c:pt>
                <c:pt idx="393">
                  <c:v>45656</c:v>
                </c:pt>
                <c:pt idx="394">
                  <c:v>45653</c:v>
                </c:pt>
                <c:pt idx="395">
                  <c:v>45652</c:v>
                </c:pt>
                <c:pt idx="396">
                  <c:v>45650</c:v>
                </c:pt>
                <c:pt idx="397">
                  <c:v>45649</c:v>
                </c:pt>
                <c:pt idx="398">
                  <c:v>45646</c:v>
                </c:pt>
                <c:pt idx="399">
                  <c:v>45645</c:v>
                </c:pt>
                <c:pt idx="400">
                  <c:v>45644</c:v>
                </c:pt>
                <c:pt idx="401">
                  <c:v>45643</c:v>
                </c:pt>
                <c:pt idx="402">
                  <c:v>45642</c:v>
                </c:pt>
                <c:pt idx="403">
                  <c:v>45639</c:v>
                </c:pt>
                <c:pt idx="404">
                  <c:v>45638</c:v>
                </c:pt>
                <c:pt idx="405">
                  <c:v>45637</c:v>
                </c:pt>
                <c:pt idx="406">
                  <c:v>45636</c:v>
                </c:pt>
                <c:pt idx="407">
                  <c:v>45635</c:v>
                </c:pt>
                <c:pt idx="408">
                  <c:v>45632</c:v>
                </c:pt>
                <c:pt idx="409">
                  <c:v>45631</c:v>
                </c:pt>
                <c:pt idx="410">
                  <c:v>45630</c:v>
                </c:pt>
                <c:pt idx="411">
                  <c:v>45629</c:v>
                </c:pt>
                <c:pt idx="412">
                  <c:v>45628</c:v>
                </c:pt>
                <c:pt idx="413">
                  <c:v>45625</c:v>
                </c:pt>
                <c:pt idx="414">
                  <c:v>45624</c:v>
                </c:pt>
                <c:pt idx="415">
                  <c:v>45623</c:v>
                </c:pt>
                <c:pt idx="416">
                  <c:v>45622</c:v>
                </c:pt>
                <c:pt idx="417">
                  <c:v>45621</c:v>
                </c:pt>
                <c:pt idx="418">
                  <c:v>45618</c:v>
                </c:pt>
                <c:pt idx="419">
                  <c:v>45617</c:v>
                </c:pt>
                <c:pt idx="420">
                  <c:v>45615</c:v>
                </c:pt>
                <c:pt idx="421">
                  <c:v>45614</c:v>
                </c:pt>
                <c:pt idx="422">
                  <c:v>45610</c:v>
                </c:pt>
                <c:pt idx="423">
                  <c:v>45609</c:v>
                </c:pt>
                <c:pt idx="424">
                  <c:v>45608</c:v>
                </c:pt>
                <c:pt idx="425">
                  <c:v>45607</c:v>
                </c:pt>
                <c:pt idx="426">
                  <c:v>45604</c:v>
                </c:pt>
                <c:pt idx="427">
                  <c:v>45603</c:v>
                </c:pt>
                <c:pt idx="428">
                  <c:v>45602</c:v>
                </c:pt>
                <c:pt idx="429">
                  <c:v>45601</c:v>
                </c:pt>
                <c:pt idx="430">
                  <c:v>45600</c:v>
                </c:pt>
                <c:pt idx="431">
                  <c:v>45597</c:v>
                </c:pt>
                <c:pt idx="432">
                  <c:v>45596</c:v>
                </c:pt>
                <c:pt idx="433">
                  <c:v>45595</c:v>
                </c:pt>
                <c:pt idx="434">
                  <c:v>45594</c:v>
                </c:pt>
                <c:pt idx="435">
                  <c:v>45593</c:v>
                </c:pt>
                <c:pt idx="436">
                  <c:v>45590</c:v>
                </c:pt>
                <c:pt idx="437">
                  <c:v>45589</c:v>
                </c:pt>
                <c:pt idx="438">
                  <c:v>45588</c:v>
                </c:pt>
                <c:pt idx="439">
                  <c:v>45587</c:v>
                </c:pt>
                <c:pt idx="440">
                  <c:v>45586</c:v>
                </c:pt>
                <c:pt idx="441">
                  <c:v>45583</c:v>
                </c:pt>
                <c:pt idx="442">
                  <c:v>45582</c:v>
                </c:pt>
                <c:pt idx="443">
                  <c:v>45581</c:v>
                </c:pt>
                <c:pt idx="444">
                  <c:v>45580</c:v>
                </c:pt>
                <c:pt idx="445">
                  <c:v>45579</c:v>
                </c:pt>
                <c:pt idx="446">
                  <c:v>45576</c:v>
                </c:pt>
                <c:pt idx="447">
                  <c:v>45575</c:v>
                </c:pt>
                <c:pt idx="448">
                  <c:v>45574</c:v>
                </c:pt>
                <c:pt idx="449">
                  <c:v>45573</c:v>
                </c:pt>
                <c:pt idx="450">
                  <c:v>45572</c:v>
                </c:pt>
                <c:pt idx="451">
                  <c:v>45569</c:v>
                </c:pt>
                <c:pt idx="452">
                  <c:v>45568</c:v>
                </c:pt>
                <c:pt idx="453">
                  <c:v>45566</c:v>
                </c:pt>
                <c:pt idx="454">
                  <c:v>45565</c:v>
                </c:pt>
                <c:pt idx="455">
                  <c:v>45562</c:v>
                </c:pt>
                <c:pt idx="456">
                  <c:v>45561</c:v>
                </c:pt>
                <c:pt idx="457">
                  <c:v>45560</c:v>
                </c:pt>
                <c:pt idx="458">
                  <c:v>45559</c:v>
                </c:pt>
                <c:pt idx="459">
                  <c:v>45558</c:v>
                </c:pt>
                <c:pt idx="460">
                  <c:v>45555</c:v>
                </c:pt>
                <c:pt idx="461">
                  <c:v>45554</c:v>
                </c:pt>
                <c:pt idx="462">
                  <c:v>45553</c:v>
                </c:pt>
                <c:pt idx="463">
                  <c:v>45552</c:v>
                </c:pt>
                <c:pt idx="464">
                  <c:v>45551</c:v>
                </c:pt>
                <c:pt idx="465">
                  <c:v>45548</c:v>
                </c:pt>
                <c:pt idx="466">
                  <c:v>45547</c:v>
                </c:pt>
                <c:pt idx="467">
                  <c:v>45546</c:v>
                </c:pt>
                <c:pt idx="468">
                  <c:v>45545</c:v>
                </c:pt>
                <c:pt idx="469">
                  <c:v>45544</c:v>
                </c:pt>
                <c:pt idx="470">
                  <c:v>45541</c:v>
                </c:pt>
                <c:pt idx="471">
                  <c:v>45540</c:v>
                </c:pt>
                <c:pt idx="472">
                  <c:v>45539</c:v>
                </c:pt>
                <c:pt idx="473">
                  <c:v>45538</c:v>
                </c:pt>
                <c:pt idx="474">
                  <c:v>45537</c:v>
                </c:pt>
                <c:pt idx="475">
                  <c:v>45534</c:v>
                </c:pt>
                <c:pt idx="476">
                  <c:v>45533</c:v>
                </c:pt>
                <c:pt idx="477">
                  <c:v>45532</c:v>
                </c:pt>
                <c:pt idx="478">
                  <c:v>45531</c:v>
                </c:pt>
                <c:pt idx="479">
                  <c:v>45530</c:v>
                </c:pt>
                <c:pt idx="480">
                  <c:v>45527</c:v>
                </c:pt>
                <c:pt idx="481">
                  <c:v>45526</c:v>
                </c:pt>
                <c:pt idx="482">
                  <c:v>45525</c:v>
                </c:pt>
                <c:pt idx="483">
                  <c:v>45524</c:v>
                </c:pt>
                <c:pt idx="484">
                  <c:v>45523</c:v>
                </c:pt>
                <c:pt idx="485">
                  <c:v>45520</c:v>
                </c:pt>
                <c:pt idx="486">
                  <c:v>45518</c:v>
                </c:pt>
                <c:pt idx="487">
                  <c:v>45517</c:v>
                </c:pt>
                <c:pt idx="488">
                  <c:v>45516</c:v>
                </c:pt>
                <c:pt idx="489">
                  <c:v>45513</c:v>
                </c:pt>
                <c:pt idx="490">
                  <c:v>45512</c:v>
                </c:pt>
                <c:pt idx="491">
                  <c:v>45511</c:v>
                </c:pt>
                <c:pt idx="492">
                  <c:v>45510</c:v>
                </c:pt>
                <c:pt idx="493">
                  <c:v>45509</c:v>
                </c:pt>
                <c:pt idx="494">
                  <c:v>45506</c:v>
                </c:pt>
                <c:pt idx="495">
                  <c:v>45505</c:v>
                </c:pt>
                <c:pt idx="496">
                  <c:v>45504</c:v>
                </c:pt>
                <c:pt idx="497">
                  <c:v>45503</c:v>
                </c:pt>
                <c:pt idx="498">
                  <c:v>45502</c:v>
                </c:pt>
                <c:pt idx="499">
                  <c:v>45499</c:v>
                </c:pt>
                <c:pt idx="500">
                  <c:v>45498</c:v>
                </c:pt>
                <c:pt idx="501">
                  <c:v>45497</c:v>
                </c:pt>
                <c:pt idx="502">
                  <c:v>45496</c:v>
                </c:pt>
                <c:pt idx="503">
                  <c:v>45495</c:v>
                </c:pt>
                <c:pt idx="504">
                  <c:v>45492</c:v>
                </c:pt>
                <c:pt idx="505">
                  <c:v>45491</c:v>
                </c:pt>
                <c:pt idx="506">
                  <c:v>45489</c:v>
                </c:pt>
                <c:pt idx="507">
                  <c:v>45488</c:v>
                </c:pt>
                <c:pt idx="508">
                  <c:v>45485</c:v>
                </c:pt>
                <c:pt idx="509">
                  <c:v>45484</c:v>
                </c:pt>
                <c:pt idx="510">
                  <c:v>45483</c:v>
                </c:pt>
                <c:pt idx="511">
                  <c:v>45482</c:v>
                </c:pt>
                <c:pt idx="512">
                  <c:v>45481</c:v>
                </c:pt>
                <c:pt idx="513">
                  <c:v>45478</c:v>
                </c:pt>
                <c:pt idx="514">
                  <c:v>45477</c:v>
                </c:pt>
                <c:pt idx="515">
                  <c:v>45476</c:v>
                </c:pt>
                <c:pt idx="516">
                  <c:v>45475</c:v>
                </c:pt>
                <c:pt idx="517">
                  <c:v>45474</c:v>
                </c:pt>
                <c:pt idx="518">
                  <c:v>45471</c:v>
                </c:pt>
                <c:pt idx="519">
                  <c:v>45470</c:v>
                </c:pt>
                <c:pt idx="520">
                  <c:v>45469</c:v>
                </c:pt>
                <c:pt idx="521">
                  <c:v>45468</c:v>
                </c:pt>
                <c:pt idx="522">
                  <c:v>45467</c:v>
                </c:pt>
                <c:pt idx="523">
                  <c:v>45464</c:v>
                </c:pt>
                <c:pt idx="524">
                  <c:v>45463</c:v>
                </c:pt>
                <c:pt idx="525">
                  <c:v>45462</c:v>
                </c:pt>
                <c:pt idx="526">
                  <c:v>45461</c:v>
                </c:pt>
                <c:pt idx="527">
                  <c:v>45457</c:v>
                </c:pt>
                <c:pt idx="528">
                  <c:v>45456</c:v>
                </c:pt>
                <c:pt idx="529">
                  <c:v>45455</c:v>
                </c:pt>
                <c:pt idx="530">
                  <c:v>45454</c:v>
                </c:pt>
                <c:pt idx="531">
                  <c:v>45453</c:v>
                </c:pt>
                <c:pt idx="532">
                  <c:v>45450</c:v>
                </c:pt>
                <c:pt idx="533">
                  <c:v>45449</c:v>
                </c:pt>
                <c:pt idx="534">
                  <c:v>45448</c:v>
                </c:pt>
                <c:pt idx="535">
                  <c:v>45447</c:v>
                </c:pt>
                <c:pt idx="536">
                  <c:v>45446</c:v>
                </c:pt>
                <c:pt idx="537">
                  <c:v>45443</c:v>
                </c:pt>
                <c:pt idx="538">
                  <c:v>45442</c:v>
                </c:pt>
                <c:pt idx="539">
                  <c:v>45441</c:v>
                </c:pt>
                <c:pt idx="540">
                  <c:v>45440</c:v>
                </c:pt>
                <c:pt idx="541">
                  <c:v>45439</c:v>
                </c:pt>
                <c:pt idx="542">
                  <c:v>45436</c:v>
                </c:pt>
                <c:pt idx="543">
                  <c:v>45435</c:v>
                </c:pt>
                <c:pt idx="544">
                  <c:v>45434</c:v>
                </c:pt>
                <c:pt idx="545">
                  <c:v>45433</c:v>
                </c:pt>
                <c:pt idx="546">
                  <c:v>45430</c:v>
                </c:pt>
                <c:pt idx="547">
                  <c:v>45429</c:v>
                </c:pt>
                <c:pt idx="548">
                  <c:v>45428</c:v>
                </c:pt>
                <c:pt idx="549">
                  <c:v>45427</c:v>
                </c:pt>
                <c:pt idx="550">
                  <c:v>45426</c:v>
                </c:pt>
                <c:pt idx="551">
                  <c:v>45425</c:v>
                </c:pt>
                <c:pt idx="552">
                  <c:v>45422</c:v>
                </c:pt>
                <c:pt idx="553">
                  <c:v>45421</c:v>
                </c:pt>
                <c:pt idx="554">
                  <c:v>45420</c:v>
                </c:pt>
                <c:pt idx="555">
                  <c:v>45419</c:v>
                </c:pt>
                <c:pt idx="556">
                  <c:v>45418</c:v>
                </c:pt>
                <c:pt idx="557">
                  <c:v>45415</c:v>
                </c:pt>
                <c:pt idx="558">
                  <c:v>45414</c:v>
                </c:pt>
                <c:pt idx="559">
                  <c:v>45412</c:v>
                </c:pt>
                <c:pt idx="560">
                  <c:v>45411</c:v>
                </c:pt>
                <c:pt idx="561">
                  <c:v>45408</c:v>
                </c:pt>
                <c:pt idx="562">
                  <c:v>45407</c:v>
                </c:pt>
                <c:pt idx="563">
                  <c:v>45406</c:v>
                </c:pt>
                <c:pt idx="564">
                  <c:v>45405</c:v>
                </c:pt>
                <c:pt idx="565">
                  <c:v>45404</c:v>
                </c:pt>
                <c:pt idx="566">
                  <c:v>45401</c:v>
                </c:pt>
                <c:pt idx="567">
                  <c:v>45400</c:v>
                </c:pt>
                <c:pt idx="568">
                  <c:v>45398</c:v>
                </c:pt>
                <c:pt idx="569">
                  <c:v>45397</c:v>
                </c:pt>
                <c:pt idx="570">
                  <c:v>45394</c:v>
                </c:pt>
                <c:pt idx="571">
                  <c:v>45392</c:v>
                </c:pt>
                <c:pt idx="572">
                  <c:v>45391</c:v>
                </c:pt>
                <c:pt idx="573">
                  <c:v>45390</c:v>
                </c:pt>
                <c:pt idx="574">
                  <c:v>45387</c:v>
                </c:pt>
                <c:pt idx="575">
                  <c:v>45386</c:v>
                </c:pt>
                <c:pt idx="576">
                  <c:v>45385</c:v>
                </c:pt>
                <c:pt idx="577">
                  <c:v>45384</c:v>
                </c:pt>
                <c:pt idx="578">
                  <c:v>45383</c:v>
                </c:pt>
                <c:pt idx="579">
                  <c:v>45379</c:v>
                </c:pt>
                <c:pt idx="580">
                  <c:v>45378</c:v>
                </c:pt>
                <c:pt idx="581">
                  <c:v>45377</c:v>
                </c:pt>
                <c:pt idx="582">
                  <c:v>45373</c:v>
                </c:pt>
                <c:pt idx="583">
                  <c:v>45372</c:v>
                </c:pt>
                <c:pt idx="584">
                  <c:v>45371</c:v>
                </c:pt>
                <c:pt idx="585">
                  <c:v>45370</c:v>
                </c:pt>
                <c:pt idx="586">
                  <c:v>45369</c:v>
                </c:pt>
                <c:pt idx="587">
                  <c:v>45366</c:v>
                </c:pt>
                <c:pt idx="588">
                  <c:v>45365</c:v>
                </c:pt>
                <c:pt idx="589">
                  <c:v>45364</c:v>
                </c:pt>
                <c:pt idx="590">
                  <c:v>45363</c:v>
                </c:pt>
                <c:pt idx="591">
                  <c:v>45362</c:v>
                </c:pt>
                <c:pt idx="592">
                  <c:v>45358</c:v>
                </c:pt>
                <c:pt idx="593">
                  <c:v>45357</c:v>
                </c:pt>
                <c:pt idx="594">
                  <c:v>45356</c:v>
                </c:pt>
                <c:pt idx="595">
                  <c:v>45355</c:v>
                </c:pt>
                <c:pt idx="596">
                  <c:v>45353</c:v>
                </c:pt>
                <c:pt idx="597">
                  <c:v>45352</c:v>
                </c:pt>
                <c:pt idx="598">
                  <c:v>45351</c:v>
                </c:pt>
                <c:pt idx="599">
                  <c:v>45350</c:v>
                </c:pt>
                <c:pt idx="600">
                  <c:v>45349</c:v>
                </c:pt>
                <c:pt idx="601">
                  <c:v>45348</c:v>
                </c:pt>
                <c:pt idx="602">
                  <c:v>45345</c:v>
                </c:pt>
                <c:pt idx="603">
                  <c:v>45344</c:v>
                </c:pt>
                <c:pt idx="604">
                  <c:v>45343</c:v>
                </c:pt>
                <c:pt idx="605">
                  <c:v>45342</c:v>
                </c:pt>
                <c:pt idx="606">
                  <c:v>45341</c:v>
                </c:pt>
                <c:pt idx="607">
                  <c:v>45338</c:v>
                </c:pt>
                <c:pt idx="608">
                  <c:v>45337</c:v>
                </c:pt>
                <c:pt idx="609">
                  <c:v>45336</c:v>
                </c:pt>
                <c:pt idx="610">
                  <c:v>45335</c:v>
                </c:pt>
                <c:pt idx="611">
                  <c:v>45334</c:v>
                </c:pt>
                <c:pt idx="612">
                  <c:v>45331</c:v>
                </c:pt>
                <c:pt idx="613">
                  <c:v>45330</c:v>
                </c:pt>
                <c:pt idx="614">
                  <c:v>45329</c:v>
                </c:pt>
                <c:pt idx="615">
                  <c:v>45328</c:v>
                </c:pt>
                <c:pt idx="616">
                  <c:v>45327</c:v>
                </c:pt>
                <c:pt idx="617">
                  <c:v>45324</c:v>
                </c:pt>
                <c:pt idx="618">
                  <c:v>45323</c:v>
                </c:pt>
                <c:pt idx="619">
                  <c:v>45322</c:v>
                </c:pt>
                <c:pt idx="620">
                  <c:v>45321</c:v>
                </c:pt>
                <c:pt idx="621">
                  <c:v>45320</c:v>
                </c:pt>
                <c:pt idx="622">
                  <c:v>45316</c:v>
                </c:pt>
                <c:pt idx="623">
                  <c:v>45315</c:v>
                </c:pt>
                <c:pt idx="624">
                  <c:v>45314</c:v>
                </c:pt>
                <c:pt idx="625">
                  <c:v>45311</c:v>
                </c:pt>
                <c:pt idx="626">
                  <c:v>45310</c:v>
                </c:pt>
                <c:pt idx="627">
                  <c:v>45309</c:v>
                </c:pt>
                <c:pt idx="628">
                  <c:v>45308</c:v>
                </c:pt>
                <c:pt idx="629">
                  <c:v>45307</c:v>
                </c:pt>
                <c:pt idx="630">
                  <c:v>45306</c:v>
                </c:pt>
                <c:pt idx="631">
                  <c:v>45303</c:v>
                </c:pt>
                <c:pt idx="632">
                  <c:v>45302</c:v>
                </c:pt>
                <c:pt idx="633">
                  <c:v>45301</c:v>
                </c:pt>
                <c:pt idx="634">
                  <c:v>45300</c:v>
                </c:pt>
                <c:pt idx="635">
                  <c:v>45299</c:v>
                </c:pt>
                <c:pt idx="636">
                  <c:v>45296</c:v>
                </c:pt>
                <c:pt idx="637">
                  <c:v>45295</c:v>
                </c:pt>
                <c:pt idx="638">
                  <c:v>45294</c:v>
                </c:pt>
                <c:pt idx="639">
                  <c:v>45293</c:v>
                </c:pt>
                <c:pt idx="640">
                  <c:v>45292</c:v>
                </c:pt>
                <c:pt idx="641">
                  <c:v>45289</c:v>
                </c:pt>
                <c:pt idx="642">
                  <c:v>45288</c:v>
                </c:pt>
                <c:pt idx="643">
                  <c:v>45287</c:v>
                </c:pt>
                <c:pt idx="644">
                  <c:v>45286</c:v>
                </c:pt>
                <c:pt idx="645">
                  <c:v>45282</c:v>
                </c:pt>
                <c:pt idx="646">
                  <c:v>45281</c:v>
                </c:pt>
                <c:pt idx="647">
                  <c:v>45280</c:v>
                </c:pt>
                <c:pt idx="648">
                  <c:v>45279</c:v>
                </c:pt>
                <c:pt idx="649">
                  <c:v>45278</c:v>
                </c:pt>
                <c:pt idx="650">
                  <c:v>45275</c:v>
                </c:pt>
                <c:pt idx="651">
                  <c:v>45274</c:v>
                </c:pt>
                <c:pt idx="652">
                  <c:v>45273</c:v>
                </c:pt>
                <c:pt idx="653">
                  <c:v>45272</c:v>
                </c:pt>
                <c:pt idx="654">
                  <c:v>45271</c:v>
                </c:pt>
                <c:pt idx="655">
                  <c:v>45268</c:v>
                </c:pt>
                <c:pt idx="656">
                  <c:v>45267</c:v>
                </c:pt>
                <c:pt idx="657">
                  <c:v>45266</c:v>
                </c:pt>
                <c:pt idx="658">
                  <c:v>45265</c:v>
                </c:pt>
                <c:pt idx="659">
                  <c:v>45264</c:v>
                </c:pt>
                <c:pt idx="660">
                  <c:v>45261</c:v>
                </c:pt>
                <c:pt idx="661">
                  <c:v>45260</c:v>
                </c:pt>
                <c:pt idx="662">
                  <c:v>45259</c:v>
                </c:pt>
                <c:pt idx="663">
                  <c:v>45258</c:v>
                </c:pt>
                <c:pt idx="664">
                  <c:v>45254</c:v>
                </c:pt>
                <c:pt idx="665">
                  <c:v>45253</c:v>
                </c:pt>
                <c:pt idx="666">
                  <c:v>45252</c:v>
                </c:pt>
                <c:pt idx="667">
                  <c:v>45251</c:v>
                </c:pt>
                <c:pt idx="668">
                  <c:v>45250</c:v>
                </c:pt>
                <c:pt idx="669">
                  <c:v>45247</c:v>
                </c:pt>
                <c:pt idx="670">
                  <c:v>45246</c:v>
                </c:pt>
                <c:pt idx="671">
                  <c:v>45245</c:v>
                </c:pt>
                <c:pt idx="672">
                  <c:v>45243</c:v>
                </c:pt>
                <c:pt idx="673">
                  <c:v>45242</c:v>
                </c:pt>
                <c:pt idx="674">
                  <c:v>45240</c:v>
                </c:pt>
                <c:pt idx="675">
                  <c:v>45239</c:v>
                </c:pt>
                <c:pt idx="676">
                  <c:v>45238</c:v>
                </c:pt>
                <c:pt idx="677">
                  <c:v>45237</c:v>
                </c:pt>
                <c:pt idx="678">
                  <c:v>45236</c:v>
                </c:pt>
                <c:pt idx="679">
                  <c:v>45233</c:v>
                </c:pt>
                <c:pt idx="680">
                  <c:v>45232</c:v>
                </c:pt>
                <c:pt idx="681">
                  <c:v>45231</c:v>
                </c:pt>
                <c:pt idx="682">
                  <c:v>45230</c:v>
                </c:pt>
                <c:pt idx="683">
                  <c:v>45229</c:v>
                </c:pt>
                <c:pt idx="684">
                  <c:v>45226</c:v>
                </c:pt>
                <c:pt idx="685">
                  <c:v>45225</c:v>
                </c:pt>
                <c:pt idx="686">
                  <c:v>45224</c:v>
                </c:pt>
                <c:pt idx="687">
                  <c:v>45222</c:v>
                </c:pt>
                <c:pt idx="688">
                  <c:v>45219</c:v>
                </c:pt>
                <c:pt idx="689">
                  <c:v>45218</c:v>
                </c:pt>
                <c:pt idx="690">
                  <c:v>45217</c:v>
                </c:pt>
                <c:pt idx="691">
                  <c:v>45216</c:v>
                </c:pt>
                <c:pt idx="692">
                  <c:v>45215</c:v>
                </c:pt>
                <c:pt idx="693">
                  <c:v>45212</c:v>
                </c:pt>
                <c:pt idx="694">
                  <c:v>45211</c:v>
                </c:pt>
                <c:pt idx="695">
                  <c:v>45210</c:v>
                </c:pt>
                <c:pt idx="696">
                  <c:v>45209</c:v>
                </c:pt>
                <c:pt idx="697">
                  <c:v>45208</c:v>
                </c:pt>
                <c:pt idx="698">
                  <c:v>45205</c:v>
                </c:pt>
                <c:pt idx="699">
                  <c:v>45204</c:v>
                </c:pt>
                <c:pt idx="700">
                  <c:v>45203</c:v>
                </c:pt>
                <c:pt idx="701">
                  <c:v>45202</c:v>
                </c:pt>
                <c:pt idx="702">
                  <c:v>45198</c:v>
                </c:pt>
                <c:pt idx="703">
                  <c:v>45197</c:v>
                </c:pt>
                <c:pt idx="704">
                  <c:v>45196</c:v>
                </c:pt>
                <c:pt idx="705">
                  <c:v>45195</c:v>
                </c:pt>
                <c:pt idx="706">
                  <c:v>45194</c:v>
                </c:pt>
                <c:pt idx="707">
                  <c:v>45191</c:v>
                </c:pt>
                <c:pt idx="708">
                  <c:v>45190</c:v>
                </c:pt>
                <c:pt idx="709">
                  <c:v>45189</c:v>
                </c:pt>
                <c:pt idx="710">
                  <c:v>45187</c:v>
                </c:pt>
                <c:pt idx="711">
                  <c:v>45184</c:v>
                </c:pt>
                <c:pt idx="712">
                  <c:v>45183</c:v>
                </c:pt>
                <c:pt idx="713">
                  <c:v>45182</c:v>
                </c:pt>
                <c:pt idx="714">
                  <c:v>45181</c:v>
                </c:pt>
                <c:pt idx="715">
                  <c:v>45180</c:v>
                </c:pt>
                <c:pt idx="716">
                  <c:v>45177</c:v>
                </c:pt>
                <c:pt idx="717">
                  <c:v>45176</c:v>
                </c:pt>
                <c:pt idx="718">
                  <c:v>45175</c:v>
                </c:pt>
                <c:pt idx="719">
                  <c:v>45174</c:v>
                </c:pt>
                <c:pt idx="720">
                  <c:v>45173</c:v>
                </c:pt>
                <c:pt idx="721">
                  <c:v>45170</c:v>
                </c:pt>
                <c:pt idx="722">
                  <c:v>45169</c:v>
                </c:pt>
                <c:pt idx="723">
                  <c:v>45168</c:v>
                </c:pt>
                <c:pt idx="724">
                  <c:v>45167</c:v>
                </c:pt>
                <c:pt idx="725">
                  <c:v>45166</c:v>
                </c:pt>
                <c:pt idx="726">
                  <c:v>45163</c:v>
                </c:pt>
                <c:pt idx="727">
                  <c:v>45162</c:v>
                </c:pt>
                <c:pt idx="728">
                  <c:v>45161</c:v>
                </c:pt>
                <c:pt idx="729">
                  <c:v>45160</c:v>
                </c:pt>
                <c:pt idx="730">
                  <c:v>45159</c:v>
                </c:pt>
                <c:pt idx="731">
                  <c:v>45156</c:v>
                </c:pt>
                <c:pt idx="732">
                  <c:v>45155</c:v>
                </c:pt>
                <c:pt idx="733">
                  <c:v>45154</c:v>
                </c:pt>
                <c:pt idx="734">
                  <c:v>45152</c:v>
                </c:pt>
                <c:pt idx="735">
                  <c:v>45149</c:v>
                </c:pt>
                <c:pt idx="736">
                  <c:v>45148</c:v>
                </c:pt>
                <c:pt idx="737">
                  <c:v>45147</c:v>
                </c:pt>
                <c:pt idx="738">
                  <c:v>45146</c:v>
                </c:pt>
                <c:pt idx="739">
                  <c:v>45145</c:v>
                </c:pt>
                <c:pt idx="740">
                  <c:v>45142</c:v>
                </c:pt>
                <c:pt idx="741">
                  <c:v>45141</c:v>
                </c:pt>
                <c:pt idx="742">
                  <c:v>45140</c:v>
                </c:pt>
                <c:pt idx="743">
                  <c:v>45139</c:v>
                </c:pt>
                <c:pt idx="744">
                  <c:v>45138</c:v>
                </c:pt>
                <c:pt idx="745">
                  <c:v>45135</c:v>
                </c:pt>
                <c:pt idx="746">
                  <c:v>45134</c:v>
                </c:pt>
                <c:pt idx="747">
                  <c:v>45133</c:v>
                </c:pt>
                <c:pt idx="748">
                  <c:v>45132</c:v>
                </c:pt>
                <c:pt idx="749">
                  <c:v>45131</c:v>
                </c:pt>
                <c:pt idx="750">
                  <c:v>45128</c:v>
                </c:pt>
                <c:pt idx="751">
                  <c:v>45127</c:v>
                </c:pt>
                <c:pt idx="752">
                  <c:v>45126</c:v>
                </c:pt>
                <c:pt idx="753">
                  <c:v>45125</c:v>
                </c:pt>
                <c:pt idx="754">
                  <c:v>45124</c:v>
                </c:pt>
                <c:pt idx="755">
                  <c:v>45121</c:v>
                </c:pt>
                <c:pt idx="756">
                  <c:v>45120</c:v>
                </c:pt>
                <c:pt idx="757">
                  <c:v>45119</c:v>
                </c:pt>
                <c:pt idx="758">
                  <c:v>45118</c:v>
                </c:pt>
                <c:pt idx="759">
                  <c:v>45117</c:v>
                </c:pt>
                <c:pt idx="760">
                  <c:v>45114</c:v>
                </c:pt>
                <c:pt idx="761">
                  <c:v>45113</c:v>
                </c:pt>
                <c:pt idx="762">
                  <c:v>45112</c:v>
                </c:pt>
                <c:pt idx="763">
                  <c:v>45111</c:v>
                </c:pt>
                <c:pt idx="764">
                  <c:v>45110</c:v>
                </c:pt>
                <c:pt idx="765">
                  <c:v>45107</c:v>
                </c:pt>
                <c:pt idx="766">
                  <c:v>45105</c:v>
                </c:pt>
                <c:pt idx="767">
                  <c:v>45104</c:v>
                </c:pt>
                <c:pt idx="768">
                  <c:v>45103</c:v>
                </c:pt>
                <c:pt idx="769">
                  <c:v>45100</c:v>
                </c:pt>
                <c:pt idx="770">
                  <c:v>45099</c:v>
                </c:pt>
                <c:pt idx="771">
                  <c:v>45098</c:v>
                </c:pt>
                <c:pt idx="772">
                  <c:v>45097</c:v>
                </c:pt>
                <c:pt idx="773">
                  <c:v>45096</c:v>
                </c:pt>
                <c:pt idx="774">
                  <c:v>45093</c:v>
                </c:pt>
                <c:pt idx="775">
                  <c:v>45092</c:v>
                </c:pt>
                <c:pt idx="776">
                  <c:v>45091</c:v>
                </c:pt>
                <c:pt idx="777">
                  <c:v>45090</c:v>
                </c:pt>
                <c:pt idx="778">
                  <c:v>45089</c:v>
                </c:pt>
                <c:pt idx="779">
                  <c:v>45086</c:v>
                </c:pt>
                <c:pt idx="780">
                  <c:v>45085</c:v>
                </c:pt>
                <c:pt idx="781">
                  <c:v>45084</c:v>
                </c:pt>
                <c:pt idx="782">
                  <c:v>45083</c:v>
                </c:pt>
                <c:pt idx="783">
                  <c:v>45082</c:v>
                </c:pt>
                <c:pt idx="784">
                  <c:v>45079</c:v>
                </c:pt>
                <c:pt idx="785">
                  <c:v>45078</c:v>
                </c:pt>
                <c:pt idx="786">
                  <c:v>45077</c:v>
                </c:pt>
                <c:pt idx="787">
                  <c:v>45076</c:v>
                </c:pt>
                <c:pt idx="788">
                  <c:v>45075</c:v>
                </c:pt>
                <c:pt idx="789">
                  <c:v>45072</c:v>
                </c:pt>
                <c:pt idx="790">
                  <c:v>45071</c:v>
                </c:pt>
                <c:pt idx="791">
                  <c:v>45070</c:v>
                </c:pt>
                <c:pt idx="792">
                  <c:v>45069</c:v>
                </c:pt>
                <c:pt idx="793">
                  <c:v>45068</c:v>
                </c:pt>
                <c:pt idx="794">
                  <c:v>45065</c:v>
                </c:pt>
                <c:pt idx="795">
                  <c:v>45064</c:v>
                </c:pt>
                <c:pt idx="796">
                  <c:v>45063</c:v>
                </c:pt>
                <c:pt idx="797">
                  <c:v>45062</c:v>
                </c:pt>
                <c:pt idx="798">
                  <c:v>45061</c:v>
                </c:pt>
                <c:pt idx="799">
                  <c:v>45058</c:v>
                </c:pt>
                <c:pt idx="800">
                  <c:v>45057</c:v>
                </c:pt>
                <c:pt idx="801">
                  <c:v>45056</c:v>
                </c:pt>
                <c:pt idx="802">
                  <c:v>45055</c:v>
                </c:pt>
                <c:pt idx="803">
                  <c:v>45054</c:v>
                </c:pt>
                <c:pt idx="804">
                  <c:v>45051</c:v>
                </c:pt>
                <c:pt idx="805">
                  <c:v>45050</c:v>
                </c:pt>
                <c:pt idx="806">
                  <c:v>45049</c:v>
                </c:pt>
                <c:pt idx="807">
                  <c:v>45048</c:v>
                </c:pt>
                <c:pt idx="808">
                  <c:v>45044</c:v>
                </c:pt>
                <c:pt idx="809">
                  <c:v>45043</c:v>
                </c:pt>
                <c:pt idx="810">
                  <c:v>45042</c:v>
                </c:pt>
                <c:pt idx="811">
                  <c:v>45041</c:v>
                </c:pt>
                <c:pt idx="812">
                  <c:v>45040</c:v>
                </c:pt>
                <c:pt idx="813">
                  <c:v>45037</c:v>
                </c:pt>
                <c:pt idx="814">
                  <c:v>45036</c:v>
                </c:pt>
                <c:pt idx="815">
                  <c:v>45035</c:v>
                </c:pt>
                <c:pt idx="816">
                  <c:v>45034</c:v>
                </c:pt>
                <c:pt idx="817">
                  <c:v>45033</c:v>
                </c:pt>
                <c:pt idx="818">
                  <c:v>45029</c:v>
                </c:pt>
                <c:pt idx="819">
                  <c:v>45028</c:v>
                </c:pt>
                <c:pt idx="820">
                  <c:v>45027</c:v>
                </c:pt>
                <c:pt idx="821">
                  <c:v>45026</c:v>
                </c:pt>
                <c:pt idx="822">
                  <c:v>45022</c:v>
                </c:pt>
                <c:pt idx="823">
                  <c:v>45021</c:v>
                </c:pt>
                <c:pt idx="824">
                  <c:v>45019</c:v>
                </c:pt>
                <c:pt idx="825">
                  <c:v>45016</c:v>
                </c:pt>
                <c:pt idx="826">
                  <c:v>45014</c:v>
                </c:pt>
                <c:pt idx="827">
                  <c:v>45013</c:v>
                </c:pt>
                <c:pt idx="828">
                  <c:v>45012</c:v>
                </c:pt>
                <c:pt idx="829">
                  <c:v>45009</c:v>
                </c:pt>
                <c:pt idx="830">
                  <c:v>45008</c:v>
                </c:pt>
                <c:pt idx="831">
                  <c:v>45007</c:v>
                </c:pt>
                <c:pt idx="832">
                  <c:v>45006</c:v>
                </c:pt>
                <c:pt idx="833">
                  <c:v>45005</c:v>
                </c:pt>
                <c:pt idx="834">
                  <c:v>45002</c:v>
                </c:pt>
                <c:pt idx="835">
                  <c:v>45001</c:v>
                </c:pt>
                <c:pt idx="836">
                  <c:v>45000</c:v>
                </c:pt>
                <c:pt idx="837">
                  <c:v>44999</c:v>
                </c:pt>
                <c:pt idx="838">
                  <c:v>44998</c:v>
                </c:pt>
                <c:pt idx="839">
                  <c:v>44995</c:v>
                </c:pt>
                <c:pt idx="840">
                  <c:v>44994</c:v>
                </c:pt>
                <c:pt idx="841">
                  <c:v>44993</c:v>
                </c:pt>
                <c:pt idx="842">
                  <c:v>44991</c:v>
                </c:pt>
                <c:pt idx="843">
                  <c:v>44988</c:v>
                </c:pt>
                <c:pt idx="844">
                  <c:v>44987</c:v>
                </c:pt>
                <c:pt idx="845">
                  <c:v>44986</c:v>
                </c:pt>
                <c:pt idx="846">
                  <c:v>44985</c:v>
                </c:pt>
                <c:pt idx="847">
                  <c:v>44984</c:v>
                </c:pt>
                <c:pt idx="848">
                  <c:v>44981</c:v>
                </c:pt>
                <c:pt idx="849">
                  <c:v>44980</c:v>
                </c:pt>
                <c:pt idx="850">
                  <c:v>44979</c:v>
                </c:pt>
                <c:pt idx="851">
                  <c:v>44978</c:v>
                </c:pt>
                <c:pt idx="852">
                  <c:v>44977</c:v>
                </c:pt>
                <c:pt idx="853">
                  <c:v>44974</c:v>
                </c:pt>
                <c:pt idx="854">
                  <c:v>44973</c:v>
                </c:pt>
                <c:pt idx="855">
                  <c:v>44972</c:v>
                </c:pt>
                <c:pt idx="856">
                  <c:v>44971</c:v>
                </c:pt>
                <c:pt idx="857">
                  <c:v>44970</c:v>
                </c:pt>
                <c:pt idx="858">
                  <c:v>44967</c:v>
                </c:pt>
                <c:pt idx="859">
                  <c:v>44966</c:v>
                </c:pt>
                <c:pt idx="860">
                  <c:v>44965</c:v>
                </c:pt>
                <c:pt idx="861">
                  <c:v>44964</c:v>
                </c:pt>
                <c:pt idx="862">
                  <c:v>44963</c:v>
                </c:pt>
                <c:pt idx="863">
                  <c:v>44960</c:v>
                </c:pt>
                <c:pt idx="864">
                  <c:v>44959</c:v>
                </c:pt>
                <c:pt idx="865">
                  <c:v>44958</c:v>
                </c:pt>
                <c:pt idx="866">
                  <c:v>44957</c:v>
                </c:pt>
                <c:pt idx="867">
                  <c:v>44956</c:v>
                </c:pt>
                <c:pt idx="868">
                  <c:v>44953</c:v>
                </c:pt>
                <c:pt idx="869">
                  <c:v>44951</c:v>
                </c:pt>
                <c:pt idx="870">
                  <c:v>44950</c:v>
                </c:pt>
                <c:pt idx="871">
                  <c:v>44949</c:v>
                </c:pt>
                <c:pt idx="872">
                  <c:v>44946</c:v>
                </c:pt>
                <c:pt idx="873">
                  <c:v>44945</c:v>
                </c:pt>
                <c:pt idx="874">
                  <c:v>44944</c:v>
                </c:pt>
                <c:pt idx="875">
                  <c:v>44943</c:v>
                </c:pt>
                <c:pt idx="876">
                  <c:v>44942</c:v>
                </c:pt>
                <c:pt idx="877">
                  <c:v>44939</c:v>
                </c:pt>
                <c:pt idx="878">
                  <c:v>44938</c:v>
                </c:pt>
                <c:pt idx="879">
                  <c:v>44937</c:v>
                </c:pt>
                <c:pt idx="880">
                  <c:v>44936</c:v>
                </c:pt>
                <c:pt idx="881">
                  <c:v>44935</c:v>
                </c:pt>
                <c:pt idx="882">
                  <c:v>44932</c:v>
                </c:pt>
                <c:pt idx="883">
                  <c:v>44931</c:v>
                </c:pt>
                <c:pt idx="884">
                  <c:v>44930</c:v>
                </c:pt>
                <c:pt idx="885">
                  <c:v>44929</c:v>
                </c:pt>
                <c:pt idx="886">
                  <c:v>44928</c:v>
                </c:pt>
                <c:pt idx="887">
                  <c:v>44925</c:v>
                </c:pt>
                <c:pt idx="888">
                  <c:v>44924</c:v>
                </c:pt>
                <c:pt idx="889">
                  <c:v>44923</c:v>
                </c:pt>
                <c:pt idx="890">
                  <c:v>44922</c:v>
                </c:pt>
                <c:pt idx="891">
                  <c:v>44921</c:v>
                </c:pt>
                <c:pt idx="892">
                  <c:v>44918</c:v>
                </c:pt>
                <c:pt idx="893">
                  <c:v>44917</c:v>
                </c:pt>
                <c:pt idx="894">
                  <c:v>44916</c:v>
                </c:pt>
                <c:pt idx="895">
                  <c:v>44915</c:v>
                </c:pt>
                <c:pt idx="896">
                  <c:v>44914</c:v>
                </c:pt>
                <c:pt idx="897">
                  <c:v>44911</c:v>
                </c:pt>
                <c:pt idx="898">
                  <c:v>44910</c:v>
                </c:pt>
                <c:pt idx="899">
                  <c:v>44909</c:v>
                </c:pt>
                <c:pt idx="900">
                  <c:v>44908</c:v>
                </c:pt>
                <c:pt idx="901">
                  <c:v>44907</c:v>
                </c:pt>
                <c:pt idx="902">
                  <c:v>44904</c:v>
                </c:pt>
                <c:pt idx="903">
                  <c:v>44903</c:v>
                </c:pt>
                <c:pt idx="904">
                  <c:v>44902</c:v>
                </c:pt>
                <c:pt idx="905">
                  <c:v>44901</c:v>
                </c:pt>
                <c:pt idx="906">
                  <c:v>44900</c:v>
                </c:pt>
                <c:pt idx="907">
                  <c:v>44897</c:v>
                </c:pt>
                <c:pt idx="908">
                  <c:v>44896</c:v>
                </c:pt>
                <c:pt idx="909">
                  <c:v>44895</c:v>
                </c:pt>
                <c:pt idx="910">
                  <c:v>44894</c:v>
                </c:pt>
                <c:pt idx="911">
                  <c:v>44893</c:v>
                </c:pt>
                <c:pt idx="912">
                  <c:v>44890</c:v>
                </c:pt>
                <c:pt idx="913">
                  <c:v>44889</c:v>
                </c:pt>
                <c:pt idx="914">
                  <c:v>44888</c:v>
                </c:pt>
                <c:pt idx="915">
                  <c:v>44887</c:v>
                </c:pt>
                <c:pt idx="916">
                  <c:v>44886</c:v>
                </c:pt>
                <c:pt idx="917">
                  <c:v>44883</c:v>
                </c:pt>
                <c:pt idx="918">
                  <c:v>44882</c:v>
                </c:pt>
                <c:pt idx="919">
                  <c:v>44881</c:v>
                </c:pt>
                <c:pt idx="920">
                  <c:v>44880</c:v>
                </c:pt>
                <c:pt idx="921">
                  <c:v>44879</c:v>
                </c:pt>
                <c:pt idx="922">
                  <c:v>44876</c:v>
                </c:pt>
                <c:pt idx="923">
                  <c:v>44875</c:v>
                </c:pt>
                <c:pt idx="924">
                  <c:v>44874</c:v>
                </c:pt>
                <c:pt idx="925">
                  <c:v>44872</c:v>
                </c:pt>
                <c:pt idx="926">
                  <c:v>44869</c:v>
                </c:pt>
                <c:pt idx="927">
                  <c:v>44868</c:v>
                </c:pt>
                <c:pt idx="928">
                  <c:v>44867</c:v>
                </c:pt>
                <c:pt idx="929">
                  <c:v>44866</c:v>
                </c:pt>
                <c:pt idx="930">
                  <c:v>44865</c:v>
                </c:pt>
                <c:pt idx="931">
                  <c:v>44862</c:v>
                </c:pt>
                <c:pt idx="932">
                  <c:v>44861</c:v>
                </c:pt>
                <c:pt idx="933">
                  <c:v>44859</c:v>
                </c:pt>
                <c:pt idx="934">
                  <c:v>44858</c:v>
                </c:pt>
                <c:pt idx="935">
                  <c:v>44855</c:v>
                </c:pt>
                <c:pt idx="936">
                  <c:v>44854</c:v>
                </c:pt>
                <c:pt idx="937">
                  <c:v>44853</c:v>
                </c:pt>
                <c:pt idx="938">
                  <c:v>44852</c:v>
                </c:pt>
                <c:pt idx="939">
                  <c:v>44851</c:v>
                </c:pt>
                <c:pt idx="940">
                  <c:v>44848</c:v>
                </c:pt>
                <c:pt idx="941">
                  <c:v>44847</c:v>
                </c:pt>
                <c:pt idx="942">
                  <c:v>44846</c:v>
                </c:pt>
                <c:pt idx="943">
                  <c:v>44845</c:v>
                </c:pt>
                <c:pt idx="944">
                  <c:v>44844</c:v>
                </c:pt>
                <c:pt idx="945">
                  <c:v>44841</c:v>
                </c:pt>
                <c:pt idx="946">
                  <c:v>44840</c:v>
                </c:pt>
                <c:pt idx="947">
                  <c:v>44838</c:v>
                </c:pt>
                <c:pt idx="948">
                  <c:v>44837</c:v>
                </c:pt>
                <c:pt idx="949">
                  <c:v>44834</c:v>
                </c:pt>
                <c:pt idx="950">
                  <c:v>44833</c:v>
                </c:pt>
                <c:pt idx="951">
                  <c:v>44832</c:v>
                </c:pt>
                <c:pt idx="952">
                  <c:v>44831</c:v>
                </c:pt>
                <c:pt idx="953">
                  <c:v>44830</c:v>
                </c:pt>
                <c:pt idx="954">
                  <c:v>44827</c:v>
                </c:pt>
                <c:pt idx="955">
                  <c:v>44826</c:v>
                </c:pt>
                <c:pt idx="956">
                  <c:v>44825</c:v>
                </c:pt>
                <c:pt idx="957">
                  <c:v>44824</c:v>
                </c:pt>
                <c:pt idx="958">
                  <c:v>44823</c:v>
                </c:pt>
                <c:pt idx="959">
                  <c:v>44820</c:v>
                </c:pt>
                <c:pt idx="960">
                  <c:v>44819</c:v>
                </c:pt>
                <c:pt idx="961">
                  <c:v>44818</c:v>
                </c:pt>
                <c:pt idx="962">
                  <c:v>44817</c:v>
                </c:pt>
                <c:pt idx="963">
                  <c:v>44816</c:v>
                </c:pt>
                <c:pt idx="964">
                  <c:v>44813</c:v>
                </c:pt>
                <c:pt idx="965">
                  <c:v>44812</c:v>
                </c:pt>
                <c:pt idx="966">
                  <c:v>44811</c:v>
                </c:pt>
                <c:pt idx="967">
                  <c:v>44810</c:v>
                </c:pt>
                <c:pt idx="968">
                  <c:v>44809</c:v>
                </c:pt>
                <c:pt idx="969">
                  <c:v>44806</c:v>
                </c:pt>
                <c:pt idx="970">
                  <c:v>44805</c:v>
                </c:pt>
                <c:pt idx="971">
                  <c:v>44803</c:v>
                </c:pt>
                <c:pt idx="972">
                  <c:v>44802</c:v>
                </c:pt>
                <c:pt idx="973">
                  <c:v>44799</c:v>
                </c:pt>
                <c:pt idx="974">
                  <c:v>44798</c:v>
                </c:pt>
                <c:pt idx="975">
                  <c:v>44797</c:v>
                </c:pt>
                <c:pt idx="976">
                  <c:v>44796</c:v>
                </c:pt>
                <c:pt idx="977">
                  <c:v>44795</c:v>
                </c:pt>
                <c:pt idx="978">
                  <c:v>44792</c:v>
                </c:pt>
                <c:pt idx="979">
                  <c:v>44791</c:v>
                </c:pt>
                <c:pt idx="980">
                  <c:v>44790</c:v>
                </c:pt>
                <c:pt idx="981">
                  <c:v>44789</c:v>
                </c:pt>
                <c:pt idx="982">
                  <c:v>44785</c:v>
                </c:pt>
                <c:pt idx="983">
                  <c:v>44784</c:v>
                </c:pt>
                <c:pt idx="984">
                  <c:v>44783</c:v>
                </c:pt>
                <c:pt idx="985">
                  <c:v>44781</c:v>
                </c:pt>
                <c:pt idx="986">
                  <c:v>44778</c:v>
                </c:pt>
                <c:pt idx="987">
                  <c:v>44777</c:v>
                </c:pt>
                <c:pt idx="988">
                  <c:v>44776</c:v>
                </c:pt>
                <c:pt idx="989">
                  <c:v>44775</c:v>
                </c:pt>
              </c:numCache>
            </c:numRef>
          </c:cat>
          <c:val>
            <c:numRef>
              <c:f>Sheet3!$C$2:$C$991</c:f>
              <c:numCache>
                <c:formatCode>General</c:formatCode>
                <c:ptCount val="990"/>
                <c:pt idx="0">
                  <c:v>34250000</c:v>
                </c:pt>
                <c:pt idx="1">
                  <c:v>13770000</c:v>
                </c:pt>
                <c:pt idx="2">
                  <c:v>24870000</c:v>
                </c:pt>
                <c:pt idx="3">
                  <c:v>19140000</c:v>
                </c:pt>
                <c:pt idx="4">
                  <c:v>11860000</c:v>
                </c:pt>
                <c:pt idx="5">
                  <c:v>16120000.000000002</c:v>
                </c:pt>
                <c:pt idx="6">
                  <c:v>20580000</c:v>
                </c:pt>
                <c:pt idx="7">
                  <c:v>16640000</c:v>
                </c:pt>
                <c:pt idx="8">
                  <c:v>21620000</c:v>
                </c:pt>
                <c:pt idx="9">
                  <c:v>11190000</c:v>
                </c:pt>
                <c:pt idx="10">
                  <c:v>20130000</c:v>
                </c:pt>
                <c:pt idx="11">
                  <c:v>13170000</c:v>
                </c:pt>
                <c:pt idx="12">
                  <c:v>24920000</c:v>
                </c:pt>
                <c:pt idx="13">
                  <c:v>24100000</c:v>
                </c:pt>
                <c:pt idx="14">
                  <c:v>47600000</c:v>
                </c:pt>
                <c:pt idx="15">
                  <c:v>23150000</c:v>
                </c:pt>
                <c:pt idx="16">
                  <c:v>21200000</c:v>
                </c:pt>
                <c:pt idx="17">
                  <c:v>17820000</c:v>
                </c:pt>
                <c:pt idx="18">
                  <c:v>22810000</c:v>
                </c:pt>
                <c:pt idx="19">
                  <c:v>14470000</c:v>
                </c:pt>
                <c:pt idx="20">
                  <c:v>28470000</c:v>
                </c:pt>
                <c:pt idx="21">
                  <c:v>29140000</c:v>
                </c:pt>
                <c:pt idx="22">
                  <c:v>20610000</c:v>
                </c:pt>
                <c:pt idx="23">
                  <c:v>33690000</c:v>
                </c:pt>
                <c:pt idx="24">
                  <c:v>62550000</c:v>
                </c:pt>
                <c:pt idx="25">
                  <c:v>34150000</c:v>
                </c:pt>
                <c:pt idx="26">
                  <c:v>51310000</c:v>
                </c:pt>
                <c:pt idx="27">
                  <c:v>34630000</c:v>
                </c:pt>
                <c:pt idx="28">
                  <c:v>19240000</c:v>
                </c:pt>
                <c:pt idx="29">
                  <c:v>31570000</c:v>
                </c:pt>
                <c:pt idx="30">
                  <c:v>22110000</c:v>
                </c:pt>
                <c:pt idx="31">
                  <c:v>22490000</c:v>
                </c:pt>
                <c:pt idx="32">
                  <c:v>29260000</c:v>
                </c:pt>
                <c:pt idx="33">
                  <c:v>27070000</c:v>
                </c:pt>
                <c:pt idx="34">
                  <c:v>27620000</c:v>
                </c:pt>
                <c:pt idx="35">
                  <c:v>38290000</c:v>
                </c:pt>
                <c:pt idx="36">
                  <c:v>34010000</c:v>
                </c:pt>
                <c:pt idx="37">
                  <c:v>42110000</c:v>
                </c:pt>
                <c:pt idx="38">
                  <c:v>31040000</c:v>
                </c:pt>
                <c:pt idx="39">
                  <c:v>35800000</c:v>
                </c:pt>
                <c:pt idx="40">
                  <c:v>18940000</c:v>
                </c:pt>
                <c:pt idx="41">
                  <c:v>23200000</c:v>
                </c:pt>
                <c:pt idx="42">
                  <c:v>29360000</c:v>
                </c:pt>
                <c:pt idx="43">
                  <c:v>23730000</c:v>
                </c:pt>
                <c:pt idx="44">
                  <c:v>67470000</c:v>
                </c:pt>
                <c:pt idx="45">
                  <c:v>39110000</c:v>
                </c:pt>
                <c:pt idx="46">
                  <c:v>17800000</c:v>
                </c:pt>
                <c:pt idx="47">
                  <c:v>23090000</c:v>
                </c:pt>
                <c:pt idx="48">
                  <c:v>22020000</c:v>
                </c:pt>
                <c:pt idx="49">
                  <c:v>24390000</c:v>
                </c:pt>
                <c:pt idx="50">
                  <c:v>56670000</c:v>
                </c:pt>
                <c:pt idx="51">
                  <c:v>32570000</c:v>
                </c:pt>
                <c:pt idx="52">
                  <c:v>73800000</c:v>
                </c:pt>
                <c:pt idx="53">
                  <c:v>33229999.999999996</c:v>
                </c:pt>
                <c:pt idx="54">
                  <c:v>34990000</c:v>
                </c:pt>
                <c:pt idx="55">
                  <c:v>46230000</c:v>
                </c:pt>
                <c:pt idx="56">
                  <c:v>28370000</c:v>
                </c:pt>
                <c:pt idx="57">
                  <c:v>16300000</c:v>
                </c:pt>
                <c:pt idx="58">
                  <c:v>17760000</c:v>
                </c:pt>
                <c:pt idx="59">
                  <c:v>21240000</c:v>
                </c:pt>
                <c:pt idx="60">
                  <c:v>24080000</c:v>
                </c:pt>
                <c:pt idx="61">
                  <c:v>20730000</c:v>
                </c:pt>
                <c:pt idx="62">
                  <c:v>23140000</c:v>
                </c:pt>
                <c:pt idx="63">
                  <c:v>24890000</c:v>
                </c:pt>
                <c:pt idx="64">
                  <c:v>32799999.999999996</c:v>
                </c:pt>
                <c:pt idx="65">
                  <c:v>34950000</c:v>
                </c:pt>
                <c:pt idx="66">
                  <c:v>33070000</c:v>
                </c:pt>
                <c:pt idx="67">
                  <c:v>22380000</c:v>
                </c:pt>
                <c:pt idx="68">
                  <c:v>19300000</c:v>
                </c:pt>
                <c:pt idx="69">
                  <c:v>20800000</c:v>
                </c:pt>
                <c:pt idx="70">
                  <c:v>17430000</c:v>
                </c:pt>
                <c:pt idx="71">
                  <c:v>24990000</c:v>
                </c:pt>
                <c:pt idx="72">
                  <c:v>22840000</c:v>
                </c:pt>
                <c:pt idx="73">
                  <c:v>26750000</c:v>
                </c:pt>
                <c:pt idx="74">
                  <c:v>30860000</c:v>
                </c:pt>
                <c:pt idx="75">
                  <c:v>25850000</c:v>
                </c:pt>
                <c:pt idx="76">
                  <c:v>28390000</c:v>
                </c:pt>
                <c:pt idx="77">
                  <c:v>36850000</c:v>
                </c:pt>
                <c:pt idx="78">
                  <c:v>37020000</c:v>
                </c:pt>
                <c:pt idx="79">
                  <c:v>32090000.000000004</c:v>
                </c:pt>
                <c:pt idx="80">
                  <c:v>28120000</c:v>
                </c:pt>
                <c:pt idx="81">
                  <c:v>27630000</c:v>
                </c:pt>
                <c:pt idx="82">
                  <c:v>35810000</c:v>
                </c:pt>
                <c:pt idx="83">
                  <c:v>45910000</c:v>
                </c:pt>
                <c:pt idx="84">
                  <c:v>36940000</c:v>
                </c:pt>
                <c:pt idx="85">
                  <c:v>34770000</c:v>
                </c:pt>
                <c:pt idx="86">
                  <c:v>34320000</c:v>
                </c:pt>
                <c:pt idx="87">
                  <c:v>44390000</c:v>
                </c:pt>
                <c:pt idx="88">
                  <c:v>46880000</c:v>
                </c:pt>
                <c:pt idx="89">
                  <c:v>24150000</c:v>
                </c:pt>
                <c:pt idx="90">
                  <c:v>26350000</c:v>
                </c:pt>
                <c:pt idx="91">
                  <c:v>45670000</c:v>
                </c:pt>
                <c:pt idx="92">
                  <c:v>44790000</c:v>
                </c:pt>
                <c:pt idx="93">
                  <c:v>42680000</c:v>
                </c:pt>
                <c:pt idx="94">
                  <c:v>24410000</c:v>
                </c:pt>
                <c:pt idx="95">
                  <c:v>34210000</c:v>
                </c:pt>
                <c:pt idx="96">
                  <c:v>25780000</c:v>
                </c:pt>
                <c:pt idx="97">
                  <c:v>43020000</c:v>
                </c:pt>
                <c:pt idx="98">
                  <c:v>28550000</c:v>
                </c:pt>
                <c:pt idx="99">
                  <c:v>41030000</c:v>
                </c:pt>
                <c:pt idx="100">
                  <c:v>72100000</c:v>
                </c:pt>
                <c:pt idx="101">
                  <c:v>30520000</c:v>
                </c:pt>
                <c:pt idx="102">
                  <c:v>25600000</c:v>
                </c:pt>
                <c:pt idx="103">
                  <c:v>25520000</c:v>
                </c:pt>
                <c:pt idx="104">
                  <c:v>48870000</c:v>
                </c:pt>
                <c:pt idx="105">
                  <c:v>23410000</c:v>
                </c:pt>
                <c:pt idx="106">
                  <c:v>23380000</c:v>
                </c:pt>
                <c:pt idx="107">
                  <c:v>26610000</c:v>
                </c:pt>
                <c:pt idx="108">
                  <c:v>27750000</c:v>
                </c:pt>
                <c:pt idx="109">
                  <c:v>48360000</c:v>
                </c:pt>
                <c:pt idx="110">
                  <c:v>18510000</c:v>
                </c:pt>
                <c:pt idx="111">
                  <c:v>17930000</c:v>
                </c:pt>
                <c:pt idx="112">
                  <c:v>25870000</c:v>
                </c:pt>
                <c:pt idx="113">
                  <c:v>24110000</c:v>
                </c:pt>
                <c:pt idx="114">
                  <c:v>40900000</c:v>
                </c:pt>
                <c:pt idx="115">
                  <c:v>82440000</c:v>
                </c:pt>
                <c:pt idx="116">
                  <c:v>68970000</c:v>
                </c:pt>
                <c:pt idx="117">
                  <c:v>18450000</c:v>
                </c:pt>
                <c:pt idx="118">
                  <c:v>31290000</c:v>
                </c:pt>
                <c:pt idx="119">
                  <c:v>13860000</c:v>
                </c:pt>
                <c:pt idx="120">
                  <c:v>28470000</c:v>
                </c:pt>
                <c:pt idx="121">
                  <c:v>25600000</c:v>
                </c:pt>
                <c:pt idx="122">
                  <c:v>26530000</c:v>
                </c:pt>
                <c:pt idx="123">
                  <c:v>52260000</c:v>
                </c:pt>
                <c:pt idx="124">
                  <c:v>60610000</c:v>
                </c:pt>
                <c:pt idx="125">
                  <c:v>33310000.000000004</c:v>
                </c:pt>
                <c:pt idx="126">
                  <c:v>42310000</c:v>
                </c:pt>
                <c:pt idx="127">
                  <c:v>28490000</c:v>
                </c:pt>
                <c:pt idx="128">
                  <c:v>35680000</c:v>
                </c:pt>
                <c:pt idx="129">
                  <c:v>35040000</c:v>
                </c:pt>
                <c:pt idx="130">
                  <c:v>20090000</c:v>
                </c:pt>
                <c:pt idx="131">
                  <c:v>19710000</c:v>
                </c:pt>
                <c:pt idx="132">
                  <c:v>26030000</c:v>
                </c:pt>
                <c:pt idx="133">
                  <c:v>55910000</c:v>
                </c:pt>
                <c:pt idx="134">
                  <c:v>19160000</c:v>
                </c:pt>
                <c:pt idx="135">
                  <c:v>25780000</c:v>
                </c:pt>
                <c:pt idx="136">
                  <c:v>25320000</c:v>
                </c:pt>
                <c:pt idx="137">
                  <c:v>38450000</c:v>
                </c:pt>
                <c:pt idx="138">
                  <c:v>18230000</c:v>
                </c:pt>
                <c:pt idx="139">
                  <c:v>28510000</c:v>
                </c:pt>
                <c:pt idx="140">
                  <c:v>30650000</c:v>
                </c:pt>
                <c:pt idx="141">
                  <c:v>23010000</c:v>
                </c:pt>
                <c:pt idx="142">
                  <c:v>21510000</c:v>
                </c:pt>
                <c:pt idx="143">
                  <c:v>50900000</c:v>
                </c:pt>
                <c:pt idx="144">
                  <c:v>33740000</c:v>
                </c:pt>
                <c:pt idx="145">
                  <c:v>48000000</c:v>
                </c:pt>
                <c:pt idx="146">
                  <c:v>16900000</c:v>
                </c:pt>
                <c:pt idx="147">
                  <c:v>17430000</c:v>
                </c:pt>
                <c:pt idx="148">
                  <c:v>17350000</c:v>
                </c:pt>
                <c:pt idx="149">
                  <c:v>23730000</c:v>
                </c:pt>
                <c:pt idx="150">
                  <c:v>28450000</c:v>
                </c:pt>
                <c:pt idx="151">
                  <c:v>13150000</c:v>
                </c:pt>
                <c:pt idx="152">
                  <c:v>11620000</c:v>
                </c:pt>
                <c:pt idx="153">
                  <c:v>22980000</c:v>
                </c:pt>
                <c:pt idx="154">
                  <c:v>23250000</c:v>
                </c:pt>
                <c:pt idx="155">
                  <c:v>41130000</c:v>
                </c:pt>
                <c:pt idx="156">
                  <c:v>32600000</c:v>
                </c:pt>
                <c:pt idx="157">
                  <c:v>22540000</c:v>
                </c:pt>
                <c:pt idx="158">
                  <c:v>25770000</c:v>
                </c:pt>
                <c:pt idx="159">
                  <c:v>15770000</c:v>
                </c:pt>
                <c:pt idx="160">
                  <c:v>33500000</c:v>
                </c:pt>
                <c:pt idx="161">
                  <c:v>11420000</c:v>
                </c:pt>
                <c:pt idx="162">
                  <c:v>18870000</c:v>
                </c:pt>
                <c:pt idx="163">
                  <c:v>15360000</c:v>
                </c:pt>
                <c:pt idx="164">
                  <c:v>11760000</c:v>
                </c:pt>
                <c:pt idx="165">
                  <c:v>11980000</c:v>
                </c:pt>
                <c:pt idx="166">
                  <c:v>17550000</c:v>
                </c:pt>
                <c:pt idx="167">
                  <c:v>15040000</c:v>
                </c:pt>
                <c:pt idx="168">
                  <c:v>19980000</c:v>
                </c:pt>
                <c:pt idx="169">
                  <c:v>31200000</c:v>
                </c:pt>
                <c:pt idx="170">
                  <c:v>28410000</c:v>
                </c:pt>
                <c:pt idx="171">
                  <c:v>15970000</c:v>
                </c:pt>
                <c:pt idx="172">
                  <c:v>19620000</c:v>
                </c:pt>
                <c:pt idx="173">
                  <c:v>34280000</c:v>
                </c:pt>
                <c:pt idx="174">
                  <c:v>28200000</c:v>
                </c:pt>
                <c:pt idx="175">
                  <c:v>38350000</c:v>
                </c:pt>
                <c:pt idx="176">
                  <c:v>82080000</c:v>
                </c:pt>
                <c:pt idx="177">
                  <c:v>19040000</c:v>
                </c:pt>
                <c:pt idx="178">
                  <c:v>14110000</c:v>
                </c:pt>
                <c:pt idx="179">
                  <c:v>18380000</c:v>
                </c:pt>
                <c:pt idx="180">
                  <c:v>19170000</c:v>
                </c:pt>
                <c:pt idx="181">
                  <c:v>23660000</c:v>
                </c:pt>
                <c:pt idx="182">
                  <c:v>18750000</c:v>
                </c:pt>
                <c:pt idx="183">
                  <c:v>16649999.999999998</c:v>
                </c:pt>
                <c:pt idx="184">
                  <c:v>16040000</c:v>
                </c:pt>
                <c:pt idx="185">
                  <c:v>24270000</c:v>
                </c:pt>
                <c:pt idx="186">
                  <c:v>51610000</c:v>
                </c:pt>
                <c:pt idx="187">
                  <c:v>59510000</c:v>
                </c:pt>
                <c:pt idx="188">
                  <c:v>23830000</c:v>
                </c:pt>
                <c:pt idx="189">
                  <c:v>25230000</c:v>
                </c:pt>
                <c:pt idx="190">
                  <c:v>31470000</c:v>
                </c:pt>
                <c:pt idx="191">
                  <c:v>2470000</c:v>
                </c:pt>
                <c:pt idx="192">
                  <c:v>18050000</c:v>
                </c:pt>
                <c:pt idx="193">
                  <c:v>21660000</c:v>
                </c:pt>
                <c:pt idx="194">
                  <c:v>12210000</c:v>
                </c:pt>
                <c:pt idx="195">
                  <c:v>15030000</c:v>
                </c:pt>
                <c:pt idx="196">
                  <c:v>22080000</c:v>
                </c:pt>
                <c:pt idx="197">
                  <c:v>19390000</c:v>
                </c:pt>
                <c:pt idx="198">
                  <c:v>18090000</c:v>
                </c:pt>
                <c:pt idx="199">
                  <c:v>68500000</c:v>
                </c:pt>
                <c:pt idx="200">
                  <c:v>22660000</c:v>
                </c:pt>
                <c:pt idx="201">
                  <c:v>19190000</c:v>
                </c:pt>
                <c:pt idx="202">
                  <c:v>21470000</c:v>
                </c:pt>
                <c:pt idx="203">
                  <c:v>55170000</c:v>
                </c:pt>
                <c:pt idx="204">
                  <c:v>17540000</c:v>
                </c:pt>
                <c:pt idx="205">
                  <c:v>24550000</c:v>
                </c:pt>
                <c:pt idx="206">
                  <c:v>16830000</c:v>
                </c:pt>
                <c:pt idx="207">
                  <c:v>20160000</c:v>
                </c:pt>
                <c:pt idx="208">
                  <c:v>17030000</c:v>
                </c:pt>
                <c:pt idx="209">
                  <c:v>20170000</c:v>
                </c:pt>
                <c:pt idx="210">
                  <c:v>24530000</c:v>
                </c:pt>
                <c:pt idx="211">
                  <c:v>20970000</c:v>
                </c:pt>
                <c:pt idx="212">
                  <c:v>25410000</c:v>
                </c:pt>
                <c:pt idx="213">
                  <c:v>16410000</c:v>
                </c:pt>
                <c:pt idx="214">
                  <c:v>21380000</c:v>
                </c:pt>
                <c:pt idx="215">
                  <c:v>26630000</c:v>
                </c:pt>
                <c:pt idx="216">
                  <c:v>10610000</c:v>
                </c:pt>
                <c:pt idx="217">
                  <c:v>12120000</c:v>
                </c:pt>
                <c:pt idx="218">
                  <c:v>13830000</c:v>
                </c:pt>
                <c:pt idx="219">
                  <c:v>13130000</c:v>
                </c:pt>
                <c:pt idx="220">
                  <c:v>14030000</c:v>
                </c:pt>
                <c:pt idx="221">
                  <c:v>36400000</c:v>
                </c:pt>
                <c:pt idx="222">
                  <c:v>16800000</c:v>
                </c:pt>
                <c:pt idx="223">
                  <c:v>26320000</c:v>
                </c:pt>
                <c:pt idx="224">
                  <c:v>82350000</c:v>
                </c:pt>
                <c:pt idx="225">
                  <c:v>21200000</c:v>
                </c:pt>
                <c:pt idx="226">
                  <c:v>10800000</c:v>
                </c:pt>
                <c:pt idx="227">
                  <c:v>16970000</c:v>
                </c:pt>
                <c:pt idx="228">
                  <c:v>22270000</c:v>
                </c:pt>
                <c:pt idx="229">
                  <c:v>19620000</c:v>
                </c:pt>
                <c:pt idx="230">
                  <c:v>16379999.999999998</c:v>
                </c:pt>
                <c:pt idx="231">
                  <c:v>16059999.999999998</c:v>
                </c:pt>
                <c:pt idx="232">
                  <c:v>17280000</c:v>
                </c:pt>
                <c:pt idx="233">
                  <c:v>28520000</c:v>
                </c:pt>
                <c:pt idx="234">
                  <c:v>21220000</c:v>
                </c:pt>
                <c:pt idx="235">
                  <c:v>61020000</c:v>
                </c:pt>
                <c:pt idx="236">
                  <c:v>47260000</c:v>
                </c:pt>
                <c:pt idx="237">
                  <c:v>18080000</c:v>
                </c:pt>
                <c:pt idx="238">
                  <c:v>20060000</c:v>
                </c:pt>
                <c:pt idx="239">
                  <c:v>14330000</c:v>
                </c:pt>
                <c:pt idx="240">
                  <c:v>11950000</c:v>
                </c:pt>
                <c:pt idx="241">
                  <c:v>23160000</c:v>
                </c:pt>
                <c:pt idx="242">
                  <c:v>13440000</c:v>
                </c:pt>
                <c:pt idx="243">
                  <c:v>14440000</c:v>
                </c:pt>
                <c:pt idx="244">
                  <c:v>30060000</c:v>
                </c:pt>
                <c:pt idx="245">
                  <c:v>23930000</c:v>
                </c:pt>
                <c:pt idx="246">
                  <c:v>26210000</c:v>
                </c:pt>
                <c:pt idx="247">
                  <c:v>16079999.999999998</c:v>
                </c:pt>
                <c:pt idx="248">
                  <c:v>15260000</c:v>
                </c:pt>
                <c:pt idx="249">
                  <c:v>19300000</c:v>
                </c:pt>
                <c:pt idx="250">
                  <c:v>12440000</c:v>
                </c:pt>
                <c:pt idx="251">
                  <c:v>14380000</c:v>
                </c:pt>
                <c:pt idx="252">
                  <c:v>14290000</c:v>
                </c:pt>
                <c:pt idx="253">
                  <c:v>13620000</c:v>
                </c:pt>
                <c:pt idx="254">
                  <c:v>29810000</c:v>
                </c:pt>
                <c:pt idx="255">
                  <c:v>30730000</c:v>
                </c:pt>
                <c:pt idx="256">
                  <c:v>21730000</c:v>
                </c:pt>
                <c:pt idx="257">
                  <c:v>14590000</c:v>
                </c:pt>
                <c:pt idx="258">
                  <c:v>17990000</c:v>
                </c:pt>
                <c:pt idx="259">
                  <c:v>15150000</c:v>
                </c:pt>
                <c:pt idx="260">
                  <c:v>20690000</c:v>
                </c:pt>
                <c:pt idx="261">
                  <c:v>17570000</c:v>
                </c:pt>
                <c:pt idx="262">
                  <c:v>29840000</c:v>
                </c:pt>
                <c:pt idx="263">
                  <c:v>11400000</c:v>
                </c:pt>
                <c:pt idx="264">
                  <c:v>17470000</c:v>
                </c:pt>
                <c:pt idx="265">
                  <c:v>22940000</c:v>
                </c:pt>
                <c:pt idx="266">
                  <c:v>60570000</c:v>
                </c:pt>
                <c:pt idx="267">
                  <c:v>63320000</c:v>
                </c:pt>
                <c:pt idx="268">
                  <c:v>17820000</c:v>
                </c:pt>
                <c:pt idx="269">
                  <c:v>15840000</c:v>
                </c:pt>
                <c:pt idx="270">
                  <c:v>31990000</c:v>
                </c:pt>
                <c:pt idx="271">
                  <c:v>40650000</c:v>
                </c:pt>
                <c:pt idx="272">
                  <c:v>18240000</c:v>
                </c:pt>
                <c:pt idx="273">
                  <c:v>25400000</c:v>
                </c:pt>
                <c:pt idx="274">
                  <c:v>17100000</c:v>
                </c:pt>
                <c:pt idx="275">
                  <c:v>29940000</c:v>
                </c:pt>
                <c:pt idx="276">
                  <c:v>20150000</c:v>
                </c:pt>
                <c:pt idx="277">
                  <c:v>14860000</c:v>
                </c:pt>
                <c:pt idx="278">
                  <c:v>16739999.999999998</c:v>
                </c:pt>
                <c:pt idx="279">
                  <c:v>16190000.000000002</c:v>
                </c:pt>
                <c:pt idx="280">
                  <c:v>24280000</c:v>
                </c:pt>
                <c:pt idx="281">
                  <c:v>27850000</c:v>
                </c:pt>
                <c:pt idx="282">
                  <c:v>17610000</c:v>
                </c:pt>
                <c:pt idx="283">
                  <c:v>22760000</c:v>
                </c:pt>
                <c:pt idx="284">
                  <c:v>15320000</c:v>
                </c:pt>
                <c:pt idx="285">
                  <c:v>25800000</c:v>
                </c:pt>
                <c:pt idx="286">
                  <c:v>23710000</c:v>
                </c:pt>
                <c:pt idx="287">
                  <c:v>16660000</c:v>
                </c:pt>
                <c:pt idx="288">
                  <c:v>28400000</c:v>
                </c:pt>
                <c:pt idx="289">
                  <c:v>31370000</c:v>
                </c:pt>
                <c:pt idx="290">
                  <c:v>32740000.000000004</c:v>
                </c:pt>
                <c:pt idx="291">
                  <c:v>26460000</c:v>
                </c:pt>
                <c:pt idx="292">
                  <c:v>13040000</c:v>
                </c:pt>
                <c:pt idx="293">
                  <c:v>23300000</c:v>
                </c:pt>
                <c:pt idx="294">
                  <c:v>25580000</c:v>
                </c:pt>
                <c:pt idx="295">
                  <c:v>29480000</c:v>
                </c:pt>
                <c:pt idx="296">
                  <c:v>60720000</c:v>
                </c:pt>
                <c:pt idx="297">
                  <c:v>36040000</c:v>
                </c:pt>
                <c:pt idx="298">
                  <c:v>58060000</c:v>
                </c:pt>
                <c:pt idx="299">
                  <c:v>21840000</c:v>
                </c:pt>
                <c:pt idx="300">
                  <c:v>22880000</c:v>
                </c:pt>
                <c:pt idx="301">
                  <c:v>57070000</c:v>
                </c:pt>
                <c:pt idx="302">
                  <c:v>60000000</c:v>
                </c:pt>
                <c:pt idx="303">
                  <c:v>54390000</c:v>
                </c:pt>
                <c:pt idx="304">
                  <c:v>47090000</c:v>
                </c:pt>
                <c:pt idx="305">
                  <c:v>21880000</c:v>
                </c:pt>
                <c:pt idx="306">
                  <c:v>29690000</c:v>
                </c:pt>
                <c:pt idx="307">
                  <c:v>34670000</c:v>
                </c:pt>
                <c:pt idx="308">
                  <c:v>42660000</c:v>
                </c:pt>
                <c:pt idx="309">
                  <c:v>17210000</c:v>
                </c:pt>
                <c:pt idx="310">
                  <c:v>34850000</c:v>
                </c:pt>
                <c:pt idx="311">
                  <c:v>29210000</c:v>
                </c:pt>
                <c:pt idx="312">
                  <c:v>25760000</c:v>
                </c:pt>
                <c:pt idx="313">
                  <c:v>26970000</c:v>
                </c:pt>
                <c:pt idx="314">
                  <c:v>37760000</c:v>
                </c:pt>
                <c:pt idx="315">
                  <c:v>23060000</c:v>
                </c:pt>
                <c:pt idx="316">
                  <c:v>37850000</c:v>
                </c:pt>
                <c:pt idx="317">
                  <c:v>58430000</c:v>
                </c:pt>
                <c:pt idx="318">
                  <c:v>26500000</c:v>
                </c:pt>
                <c:pt idx="319">
                  <c:v>62280000</c:v>
                </c:pt>
                <c:pt idx="320">
                  <c:v>42680000</c:v>
                </c:pt>
                <c:pt idx="321">
                  <c:v>38970000</c:v>
                </c:pt>
                <c:pt idx="322">
                  <c:v>73710000</c:v>
                </c:pt>
                <c:pt idx="323">
                  <c:v>73400000</c:v>
                </c:pt>
                <c:pt idx="324">
                  <c:v>69000000</c:v>
                </c:pt>
                <c:pt idx="325">
                  <c:v>121810000</c:v>
                </c:pt>
                <c:pt idx="326">
                  <c:v>80850000</c:v>
                </c:pt>
                <c:pt idx="327">
                  <c:v>15120000</c:v>
                </c:pt>
                <c:pt idx="328">
                  <c:v>24980000</c:v>
                </c:pt>
                <c:pt idx="329">
                  <c:v>29140000</c:v>
                </c:pt>
                <c:pt idx="330">
                  <c:v>24590000</c:v>
                </c:pt>
                <c:pt idx="331">
                  <c:v>25910000</c:v>
                </c:pt>
                <c:pt idx="332">
                  <c:v>23180000</c:v>
                </c:pt>
                <c:pt idx="333">
                  <c:v>28470000</c:v>
                </c:pt>
                <c:pt idx="334">
                  <c:v>30910000</c:v>
                </c:pt>
                <c:pt idx="335">
                  <c:v>49180000</c:v>
                </c:pt>
                <c:pt idx="336">
                  <c:v>39890000</c:v>
                </c:pt>
                <c:pt idx="337">
                  <c:v>66160000</c:v>
                </c:pt>
                <c:pt idx="338">
                  <c:v>38130000</c:v>
                </c:pt>
                <c:pt idx="339">
                  <c:v>35880000</c:v>
                </c:pt>
                <c:pt idx="340">
                  <c:v>48290000</c:v>
                </c:pt>
                <c:pt idx="341">
                  <c:v>26380000</c:v>
                </c:pt>
                <c:pt idx="342">
                  <c:v>35920000</c:v>
                </c:pt>
                <c:pt idx="343">
                  <c:v>54450000</c:v>
                </c:pt>
                <c:pt idx="344">
                  <c:v>81820000</c:v>
                </c:pt>
                <c:pt idx="345">
                  <c:v>79120000</c:v>
                </c:pt>
                <c:pt idx="346">
                  <c:v>62110000</c:v>
                </c:pt>
                <c:pt idx="347">
                  <c:v>28630000</c:v>
                </c:pt>
                <c:pt idx="348">
                  <c:v>31150000</c:v>
                </c:pt>
                <c:pt idx="349">
                  <c:v>45540000</c:v>
                </c:pt>
                <c:pt idx="350">
                  <c:v>30750000</c:v>
                </c:pt>
                <c:pt idx="351">
                  <c:v>23580000</c:v>
                </c:pt>
                <c:pt idx="352">
                  <c:v>25190000</c:v>
                </c:pt>
                <c:pt idx="353">
                  <c:v>41990000</c:v>
                </c:pt>
                <c:pt idx="354">
                  <c:v>24140000</c:v>
                </c:pt>
                <c:pt idx="355">
                  <c:v>18450000</c:v>
                </c:pt>
                <c:pt idx="356">
                  <c:v>23960000</c:v>
                </c:pt>
                <c:pt idx="357">
                  <c:v>21190000</c:v>
                </c:pt>
                <c:pt idx="358">
                  <c:v>41470000</c:v>
                </c:pt>
                <c:pt idx="359">
                  <c:v>52040000</c:v>
                </c:pt>
                <c:pt idx="360">
                  <c:v>37930000</c:v>
                </c:pt>
                <c:pt idx="361">
                  <c:v>23640000</c:v>
                </c:pt>
                <c:pt idx="362">
                  <c:v>26120000</c:v>
                </c:pt>
                <c:pt idx="363">
                  <c:v>52950000</c:v>
                </c:pt>
                <c:pt idx="364">
                  <c:v>22410000</c:v>
                </c:pt>
                <c:pt idx="365">
                  <c:v>16960000</c:v>
                </c:pt>
                <c:pt idx="366">
                  <c:v>25030000</c:v>
                </c:pt>
                <c:pt idx="367">
                  <c:v>27770000</c:v>
                </c:pt>
                <c:pt idx="368">
                  <c:v>21170000</c:v>
                </c:pt>
                <c:pt idx="369">
                  <c:v>26690000</c:v>
                </c:pt>
                <c:pt idx="370">
                  <c:v>25260000</c:v>
                </c:pt>
                <c:pt idx="371">
                  <c:v>16670000.000000002</c:v>
                </c:pt>
                <c:pt idx="372">
                  <c:v>40370000</c:v>
                </c:pt>
                <c:pt idx="373">
                  <c:v>24650000</c:v>
                </c:pt>
                <c:pt idx="374">
                  <c:v>37090000</c:v>
                </c:pt>
                <c:pt idx="375">
                  <c:v>20720000</c:v>
                </c:pt>
                <c:pt idx="376">
                  <c:v>27510000</c:v>
                </c:pt>
                <c:pt idx="377">
                  <c:v>32240000.000000004</c:v>
                </c:pt>
                <c:pt idx="378">
                  <c:v>20570000</c:v>
                </c:pt>
                <c:pt idx="379">
                  <c:v>27420000</c:v>
                </c:pt>
                <c:pt idx="380">
                  <c:v>22160000</c:v>
                </c:pt>
                <c:pt idx="381">
                  <c:v>18770000</c:v>
                </c:pt>
                <c:pt idx="382">
                  <c:v>36880000</c:v>
                </c:pt>
                <c:pt idx="383">
                  <c:v>38970000</c:v>
                </c:pt>
                <c:pt idx="384">
                  <c:v>34860000</c:v>
                </c:pt>
                <c:pt idx="385">
                  <c:v>31900000</c:v>
                </c:pt>
                <c:pt idx="386">
                  <c:v>31570000</c:v>
                </c:pt>
                <c:pt idx="387">
                  <c:v>24240000</c:v>
                </c:pt>
                <c:pt idx="388">
                  <c:v>44620000</c:v>
                </c:pt>
                <c:pt idx="389">
                  <c:v>23350000</c:v>
                </c:pt>
                <c:pt idx="390">
                  <c:v>23390000</c:v>
                </c:pt>
                <c:pt idx="391">
                  <c:v>18170000</c:v>
                </c:pt>
                <c:pt idx="392">
                  <c:v>20080000</c:v>
                </c:pt>
                <c:pt idx="393">
                  <c:v>32560000.000000004</c:v>
                </c:pt>
                <c:pt idx="394">
                  <c:v>19560000</c:v>
                </c:pt>
                <c:pt idx="395">
                  <c:v>23940000</c:v>
                </c:pt>
                <c:pt idx="396">
                  <c:v>25880000</c:v>
                </c:pt>
                <c:pt idx="397">
                  <c:v>27510000</c:v>
                </c:pt>
                <c:pt idx="398">
                  <c:v>46500000</c:v>
                </c:pt>
                <c:pt idx="399">
                  <c:v>27100000</c:v>
                </c:pt>
                <c:pt idx="400">
                  <c:v>19850000</c:v>
                </c:pt>
                <c:pt idx="401">
                  <c:v>27110000</c:v>
                </c:pt>
                <c:pt idx="402">
                  <c:v>22630000</c:v>
                </c:pt>
                <c:pt idx="403">
                  <c:v>39700000</c:v>
                </c:pt>
                <c:pt idx="404">
                  <c:v>25760000</c:v>
                </c:pt>
                <c:pt idx="405">
                  <c:v>20500000</c:v>
                </c:pt>
                <c:pt idx="406">
                  <c:v>36280000</c:v>
                </c:pt>
                <c:pt idx="407">
                  <c:v>39060000</c:v>
                </c:pt>
                <c:pt idx="408">
                  <c:v>30600000</c:v>
                </c:pt>
                <c:pt idx="409">
                  <c:v>36330000</c:v>
                </c:pt>
                <c:pt idx="410">
                  <c:v>38540000</c:v>
                </c:pt>
                <c:pt idx="411">
                  <c:v>35530000</c:v>
                </c:pt>
                <c:pt idx="412">
                  <c:v>23840000</c:v>
                </c:pt>
                <c:pt idx="413">
                  <c:v>29740000</c:v>
                </c:pt>
                <c:pt idx="414">
                  <c:v>30950000</c:v>
                </c:pt>
                <c:pt idx="415">
                  <c:v>24900000</c:v>
                </c:pt>
                <c:pt idx="416">
                  <c:v>25610000</c:v>
                </c:pt>
                <c:pt idx="417">
                  <c:v>53880000</c:v>
                </c:pt>
                <c:pt idx="418">
                  <c:v>43710000</c:v>
                </c:pt>
                <c:pt idx="419">
                  <c:v>58400000</c:v>
                </c:pt>
                <c:pt idx="420">
                  <c:v>37610000</c:v>
                </c:pt>
                <c:pt idx="421">
                  <c:v>40230000</c:v>
                </c:pt>
                <c:pt idx="422">
                  <c:v>36350000</c:v>
                </c:pt>
                <c:pt idx="423">
                  <c:v>57610000</c:v>
                </c:pt>
                <c:pt idx="424">
                  <c:v>28860000</c:v>
                </c:pt>
                <c:pt idx="425">
                  <c:v>47500000</c:v>
                </c:pt>
                <c:pt idx="426">
                  <c:v>61980000</c:v>
                </c:pt>
                <c:pt idx="427">
                  <c:v>88250000</c:v>
                </c:pt>
                <c:pt idx="428">
                  <c:v>48930000</c:v>
                </c:pt>
                <c:pt idx="429">
                  <c:v>42770000</c:v>
                </c:pt>
                <c:pt idx="430">
                  <c:v>25570000</c:v>
                </c:pt>
                <c:pt idx="431">
                  <c:v>5110000</c:v>
                </c:pt>
                <c:pt idx="432">
                  <c:v>26380000</c:v>
                </c:pt>
                <c:pt idx="433">
                  <c:v>21360000</c:v>
                </c:pt>
                <c:pt idx="434">
                  <c:v>32259999.999999996</c:v>
                </c:pt>
                <c:pt idx="435">
                  <c:v>28390000</c:v>
                </c:pt>
                <c:pt idx="436">
                  <c:v>39730000</c:v>
                </c:pt>
                <c:pt idx="437">
                  <c:v>22120000</c:v>
                </c:pt>
                <c:pt idx="438">
                  <c:v>42110000</c:v>
                </c:pt>
                <c:pt idx="439">
                  <c:v>39080000</c:v>
                </c:pt>
                <c:pt idx="440">
                  <c:v>25800000</c:v>
                </c:pt>
                <c:pt idx="441">
                  <c:v>34750000</c:v>
                </c:pt>
                <c:pt idx="442">
                  <c:v>28400000</c:v>
                </c:pt>
                <c:pt idx="443">
                  <c:v>28520000</c:v>
                </c:pt>
                <c:pt idx="444">
                  <c:v>38960000</c:v>
                </c:pt>
                <c:pt idx="445">
                  <c:v>35570000</c:v>
                </c:pt>
                <c:pt idx="446">
                  <c:v>53260000</c:v>
                </c:pt>
                <c:pt idx="447">
                  <c:v>46510000</c:v>
                </c:pt>
                <c:pt idx="448">
                  <c:v>42770000</c:v>
                </c:pt>
                <c:pt idx="449">
                  <c:v>74960000</c:v>
                </c:pt>
                <c:pt idx="450">
                  <c:v>48780000</c:v>
                </c:pt>
                <c:pt idx="451">
                  <c:v>53880000</c:v>
                </c:pt>
                <c:pt idx="452">
                  <c:v>75960000</c:v>
                </c:pt>
                <c:pt idx="453">
                  <c:v>50760000</c:v>
                </c:pt>
                <c:pt idx="454">
                  <c:v>92380000</c:v>
                </c:pt>
                <c:pt idx="455">
                  <c:v>72800000</c:v>
                </c:pt>
                <c:pt idx="456">
                  <c:v>88660000</c:v>
                </c:pt>
                <c:pt idx="457">
                  <c:v>58040000</c:v>
                </c:pt>
                <c:pt idx="458">
                  <c:v>137410000</c:v>
                </c:pt>
                <c:pt idx="459">
                  <c:v>33280000</c:v>
                </c:pt>
                <c:pt idx="460">
                  <c:v>53870000</c:v>
                </c:pt>
                <c:pt idx="461">
                  <c:v>36910000</c:v>
                </c:pt>
                <c:pt idx="462">
                  <c:v>24860000</c:v>
                </c:pt>
                <c:pt idx="463">
                  <c:v>18280000</c:v>
                </c:pt>
                <c:pt idx="464">
                  <c:v>32580000</c:v>
                </c:pt>
                <c:pt idx="465">
                  <c:v>54890000</c:v>
                </c:pt>
                <c:pt idx="466">
                  <c:v>73190000</c:v>
                </c:pt>
                <c:pt idx="467">
                  <c:v>24630000</c:v>
                </c:pt>
                <c:pt idx="468">
                  <c:v>41610000</c:v>
                </c:pt>
                <c:pt idx="469">
                  <c:v>32619999.999999996</c:v>
                </c:pt>
                <c:pt idx="470">
                  <c:v>30710000</c:v>
                </c:pt>
                <c:pt idx="471">
                  <c:v>28350000</c:v>
                </c:pt>
                <c:pt idx="472">
                  <c:v>39610000</c:v>
                </c:pt>
                <c:pt idx="473">
                  <c:v>19780000</c:v>
                </c:pt>
                <c:pt idx="474">
                  <c:v>19200000</c:v>
                </c:pt>
                <c:pt idx="475">
                  <c:v>55130000</c:v>
                </c:pt>
                <c:pt idx="476">
                  <c:v>44450000</c:v>
                </c:pt>
                <c:pt idx="477">
                  <c:v>25200000</c:v>
                </c:pt>
                <c:pt idx="478">
                  <c:v>24520000</c:v>
                </c:pt>
                <c:pt idx="479">
                  <c:v>32500000</c:v>
                </c:pt>
                <c:pt idx="480">
                  <c:v>31490000</c:v>
                </c:pt>
                <c:pt idx="481">
                  <c:v>36720000</c:v>
                </c:pt>
                <c:pt idx="482">
                  <c:v>49750000</c:v>
                </c:pt>
                <c:pt idx="483">
                  <c:v>37560000</c:v>
                </c:pt>
                <c:pt idx="484">
                  <c:v>62890000</c:v>
                </c:pt>
                <c:pt idx="485">
                  <c:v>54130000</c:v>
                </c:pt>
                <c:pt idx="486">
                  <c:v>97910000</c:v>
                </c:pt>
                <c:pt idx="487">
                  <c:v>29400000</c:v>
                </c:pt>
                <c:pt idx="488">
                  <c:v>30550000</c:v>
                </c:pt>
                <c:pt idx="489">
                  <c:v>23290000</c:v>
                </c:pt>
                <c:pt idx="490">
                  <c:v>51860000</c:v>
                </c:pt>
                <c:pt idx="491">
                  <c:v>32030000</c:v>
                </c:pt>
                <c:pt idx="492">
                  <c:v>53510000</c:v>
                </c:pt>
                <c:pt idx="493">
                  <c:v>102880000</c:v>
                </c:pt>
                <c:pt idx="494">
                  <c:v>72430000</c:v>
                </c:pt>
                <c:pt idx="495">
                  <c:v>118340000</c:v>
                </c:pt>
                <c:pt idx="496">
                  <c:v>52770000</c:v>
                </c:pt>
                <c:pt idx="497">
                  <c:v>42820000</c:v>
                </c:pt>
                <c:pt idx="498">
                  <c:v>31750000</c:v>
                </c:pt>
                <c:pt idx="499">
                  <c:v>45640000</c:v>
                </c:pt>
                <c:pt idx="500">
                  <c:v>45160000</c:v>
                </c:pt>
                <c:pt idx="501">
                  <c:v>28090000</c:v>
                </c:pt>
                <c:pt idx="502">
                  <c:v>37080000</c:v>
                </c:pt>
                <c:pt idx="503">
                  <c:v>40350000</c:v>
                </c:pt>
                <c:pt idx="504">
                  <c:v>77990000</c:v>
                </c:pt>
                <c:pt idx="505">
                  <c:v>36570000</c:v>
                </c:pt>
                <c:pt idx="506">
                  <c:v>26510000</c:v>
                </c:pt>
                <c:pt idx="507">
                  <c:v>32640000</c:v>
                </c:pt>
                <c:pt idx="508">
                  <c:v>33310000.000000004</c:v>
                </c:pt>
                <c:pt idx="509">
                  <c:v>33990000</c:v>
                </c:pt>
                <c:pt idx="510">
                  <c:v>41530000</c:v>
                </c:pt>
                <c:pt idx="511">
                  <c:v>25130000</c:v>
                </c:pt>
                <c:pt idx="512">
                  <c:v>31480000</c:v>
                </c:pt>
                <c:pt idx="513">
                  <c:v>38120000</c:v>
                </c:pt>
                <c:pt idx="514">
                  <c:v>29500000</c:v>
                </c:pt>
                <c:pt idx="515">
                  <c:v>29090000</c:v>
                </c:pt>
                <c:pt idx="516">
                  <c:v>33360000</c:v>
                </c:pt>
                <c:pt idx="517">
                  <c:v>27810000</c:v>
                </c:pt>
                <c:pt idx="518">
                  <c:v>37520000</c:v>
                </c:pt>
                <c:pt idx="519">
                  <c:v>49770000</c:v>
                </c:pt>
                <c:pt idx="520">
                  <c:v>44010000</c:v>
                </c:pt>
                <c:pt idx="521">
                  <c:v>30600000</c:v>
                </c:pt>
                <c:pt idx="522">
                  <c:v>47600000</c:v>
                </c:pt>
                <c:pt idx="523">
                  <c:v>65489999.999999993</c:v>
                </c:pt>
                <c:pt idx="524">
                  <c:v>38840000</c:v>
                </c:pt>
                <c:pt idx="525">
                  <c:v>27480000</c:v>
                </c:pt>
                <c:pt idx="526">
                  <c:v>35030000</c:v>
                </c:pt>
                <c:pt idx="527">
                  <c:v>28510000</c:v>
                </c:pt>
                <c:pt idx="528">
                  <c:v>36670000</c:v>
                </c:pt>
                <c:pt idx="529">
                  <c:v>33299999.999999996</c:v>
                </c:pt>
                <c:pt idx="530">
                  <c:v>55560000</c:v>
                </c:pt>
                <c:pt idx="531">
                  <c:v>74290000</c:v>
                </c:pt>
                <c:pt idx="532">
                  <c:v>84320000</c:v>
                </c:pt>
                <c:pt idx="533">
                  <c:v>57920000</c:v>
                </c:pt>
                <c:pt idx="534">
                  <c:v>60100000</c:v>
                </c:pt>
                <c:pt idx="535">
                  <c:v>125040000</c:v>
                </c:pt>
                <c:pt idx="536">
                  <c:v>86400000</c:v>
                </c:pt>
                <c:pt idx="537">
                  <c:v>83710000</c:v>
                </c:pt>
                <c:pt idx="538">
                  <c:v>108810000</c:v>
                </c:pt>
                <c:pt idx="539">
                  <c:v>36580000</c:v>
                </c:pt>
                <c:pt idx="540">
                  <c:v>39210000</c:v>
                </c:pt>
                <c:pt idx="541">
                  <c:v>30410000</c:v>
                </c:pt>
                <c:pt idx="542">
                  <c:v>38670000</c:v>
                </c:pt>
                <c:pt idx="543">
                  <c:v>49380000</c:v>
                </c:pt>
                <c:pt idx="544">
                  <c:v>42920000</c:v>
                </c:pt>
                <c:pt idx="545">
                  <c:v>84830000</c:v>
                </c:pt>
                <c:pt idx="546">
                  <c:v>3600000</c:v>
                </c:pt>
                <c:pt idx="547">
                  <c:v>39180000</c:v>
                </c:pt>
                <c:pt idx="548">
                  <c:v>41130000</c:v>
                </c:pt>
                <c:pt idx="549">
                  <c:v>29600000</c:v>
                </c:pt>
                <c:pt idx="550">
                  <c:v>46260000</c:v>
                </c:pt>
                <c:pt idx="551">
                  <c:v>36560000</c:v>
                </c:pt>
                <c:pt idx="552">
                  <c:v>31470000</c:v>
                </c:pt>
                <c:pt idx="553">
                  <c:v>30220000</c:v>
                </c:pt>
                <c:pt idx="554">
                  <c:v>30130000</c:v>
                </c:pt>
                <c:pt idx="555">
                  <c:v>43610000</c:v>
                </c:pt>
                <c:pt idx="556">
                  <c:v>37620000</c:v>
                </c:pt>
                <c:pt idx="557">
                  <c:v>62570000</c:v>
                </c:pt>
                <c:pt idx="558">
                  <c:v>69320000</c:v>
                </c:pt>
                <c:pt idx="559">
                  <c:v>55040000</c:v>
                </c:pt>
                <c:pt idx="560">
                  <c:v>44910000</c:v>
                </c:pt>
                <c:pt idx="561">
                  <c:v>65360000</c:v>
                </c:pt>
                <c:pt idx="562">
                  <c:v>50130000</c:v>
                </c:pt>
                <c:pt idx="563">
                  <c:v>59890000</c:v>
                </c:pt>
                <c:pt idx="564">
                  <c:v>30300000</c:v>
                </c:pt>
                <c:pt idx="565">
                  <c:v>39300000</c:v>
                </c:pt>
                <c:pt idx="566">
                  <c:v>60080000</c:v>
                </c:pt>
                <c:pt idx="567">
                  <c:v>68090000</c:v>
                </c:pt>
                <c:pt idx="568">
                  <c:v>41390000</c:v>
                </c:pt>
                <c:pt idx="569">
                  <c:v>66430000.000000007</c:v>
                </c:pt>
                <c:pt idx="570">
                  <c:v>55320000</c:v>
                </c:pt>
                <c:pt idx="571">
                  <c:v>64129999.999999993</c:v>
                </c:pt>
                <c:pt idx="572">
                  <c:v>63880000</c:v>
                </c:pt>
                <c:pt idx="573">
                  <c:v>48260000</c:v>
                </c:pt>
                <c:pt idx="574">
                  <c:v>44670000</c:v>
                </c:pt>
                <c:pt idx="575">
                  <c:v>61090000</c:v>
                </c:pt>
                <c:pt idx="576">
                  <c:v>50940000</c:v>
                </c:pt>
                <c:pt idx="577">
                  <c:v>69530000</c:v>
                </c:pt>
                <c:pt idx="578">
                  <c:v>84580000</c:v>
                </c:pt>
                <c:pt idx="579">
                  <c:v>62580000</c:v>
                </c:pt>
                <c:pt idx="580">
                  <c:v>35330000</c:v>
                </c:pt>
                <c:pt idx="581">
                  <c:v>52970000</c:v>
                </c:pt>
                <c:pt idx="582">
                  <c:v>68240000</c:v>
                </c:pt>
                <c:pt idx="583">
                  <c:v>84230000</c:v>
                </c:pt>
                <c:pt idx="584">
                  <c:v>77550000</c:v>
                </c:pt>
                <c:pt idx="585">
                  <c:v>105000000</c:v>
                </c:pt>
                <c:pt idx="586">
                  <c:v>166910000</c:v>
                </c:pt>
                <c:pt idx="587">
                  <c:v>68480000</c:v>
                </c:pt>
                <c:pt idx="588">
                  <c:v>91960000</c:v>
                </c:pt>
                <c:pt idx="589">
                  <c:v>70940000</c:v>
                </c:pt>
                <c:pt idx="590">
                  <c:v>34950000</c:v>
                </c:pt>
                <c:pt idx="591">
                  <c:v>54160000</c:v>
                </c:pt>
                <c:pt idx="592">
                  <c:v>124850000</c:v>
                </c:pt>
                <c:pt idx="593">
                  <c:v>51780000</c:v>
                </c:pt>
                <c:pt idx="594">
                  <c:v>37170000</c:v>
                </c:pt>
                <c:pt idx="595">
                  <c:v>67580000</c:v>
                </c:pt>
                <c:pt idx="596">
                  <c:v>21640000</c:v>
                </c:pt>
                <c:pt idx="597">
                  <c:v>123710000</c:v>
                </c:pt>
                <c:pt idx="598">
                  <c:v>32250000</c:v>
                </c:pt>
                <c:pt idx="599">
                  <c:v>20720000</c:v>
                </c:pt>
                <c:pt idx="600">
                  <c:v>24120000</c:v>
                </c:pt>
                <c:pt idx="601">
                  <c:v>22570000</c:v>
                </c:pt>
                <c:pt idx="602">
                  <c:v>28410000</c:v>
                </c:pt>
                <c:pt idx="603">
                  <c:v>46730000</c:v>
                </c:pt>
                <c:pt idx="604">
                  <c:v>88000000</c:v>
                </c:pt>
                <c:pt idx="605">
                  <c:v>24290000</c:v>
                </c:pt>
                <c:pt idx="606">
                  <c:v>16970000</c:v>
                </c:pt>
                <c:pt idx="607">
                  <c:v>22320000</c:v>
                </c:pt>
                <c:pt idx="608">
                  <c:v>31590000</c:v>
                </c:pt>
                <c:pt idx="609">
                  <c:v>29140000</c:v>
                </c:pt>
                <c:pt idx="610">
                  <c:v>39160000</c:v>
                </c:pt>
                <c:pt idx="611">
                  <c:v>36480000</c:v>
                </c:pt>
                <c:pt idx="612">
                  <c:v>35960000</c:v>
                </c:pt>
                <c:pt idx="613">
                  <c:v>39000000</c:v>
                </c:pt>
                <c:pt idx="614">
                  <c:v>61520000</c:v>
                </c:pt>
                <c:pt idx="615">
                  <c:v>53190000</c:v>
                </c:pt>
                <c:pt idx="616">
                  <c:v>80740000</c:v>
                </c:pt>
                <c:pt idx="617">
                  <c:v>69300000</c:v>
                </c:pt>
                <c:pt idx="618">
                  <c:v>31700000</c:v>
                </c:pt>
                <c:pt idx="619">
                  <c:v>36080000</c:v>
                </c:pt>
                <c:pt idx="620">
                  <c:v>35700000</c:v>
                </c:pt>
                <c:pt idx="621">
                  <c:v>29750000</c:v>
                </c:pt>
                <c:pt idx="622">
                  <c:v>61360000</c:v>
                </c:pt>
                <c:pt idx="623">
                  <c:v>39340000</c:v>
                </c:pt>
                <c:pt idx="624">
                  <c:v>35370000</c:v>
                </c:pt>
                <c:pt idx="625">
                  <c:v>16579999.999999998</c:v>
                </c:pt>
                <c:pt idx="626">
                  <c:v>32650000</c:v>
                </c:pt>
                <c:pt idx="627">
                  <c:v>45270000</c:v>
                </c:pt>
                <c:pt idx="628">
                  <c:v>58980000</c:v>
                </c:pt>
                <c:pt idx="629">
                  <c:v>56360000</c:v>
                </c:pt>
                <c:pt idx="630">
                  <c:v>34160000</c:v>
                </c:pt>
                <c:pt idx="631">
                  <c:v>32880000.000000004</c:v>
                </c:pt>
                <c:pt idx="632">
                  <c:v>23110000</c:v>
                </c:pt>
                <c:pt idx="633">
                  <c:v>27210000</c:v>
                </c:pt>
                <c:pt idx="634">
                  <c:v>30740000</c:v>
                </c:pt>
                <c:pt idx="635">
                  <c:v>39560000</c:v>
                </c:pt>
                <c:pt idx="636">
                  <c:v>71330000</c:v>
                </c:pt>
                <c:pt idx="637">
                  <c:v>43910000</c:v>
                </c:pt>
                <c:pt idx="638">
                  <c:v>45180000</c:v>
                </c:pt>
                <c:pt idx="639">
                  <c:v>27760000</c:v>
                </c:pt>
                <c:pt idx="640">
                  <c:v>21190000</c:v>
                </c:pt>
                <c:pt idx="641">
                  <c:v>49200000</c:v>
                </c:pt>
                <c:pt idx="642">
                  <c:v>34660000</c:v>
                </c:pt>
                <c:pt idx="643">
                  <c:v>48100000</c:v>
                </c:pt>
                <c:pt idx="644">
                  <c:v>25940000</c:v>
                </c:pt>
                <c:pt idx="645">
                  <c:v>37360000</c:v>
                </c:pt>
                <c:pt idx="646">
                  <c:v>34910000</c:v>
                </c:pt>
                <c:pt idx="647">
                  <c:v>39500000</c:v>
                </c:pt>
                <c:pt idx="648">
                  <c:v>27730000</c:v>
                </c:pt>
                <c:pt idx="649">
                  <c:v>38460000</c:v>
                </c:pt>
                <c:pt idx="650">
                  <c:v>77380000</c:v>
                </c:pt>
                <c:pt idx="651">
                  <c:v>43370000</c:v>
                </c:pt>
                <c:pt idx="652">
                  <c:v>22770000</c:v>
                </c:pt>
                <c:pt idx="653">
                  <c:v>30700000</c:v>
                </c:pt>
                <c:pt idx="654">
                  <c:v>24040000</c:v>
                </c:pt>
                <c:pt idx="655">
                  <c:v>34390000</c:v>
                </c:pt>
                <c:pt idx="656">
                  <c:v>34690000</c:v>
                </c:pt>
                <c:pt idx="657">
                  <c:v>40750000</c:v>
                </c:pt>
                <c:pt idx="658">
                  <c:v>35190000</c:v>
                </c:pt>
                <c:pt idx="659">
                  <c:v>41230000</c:v>
                </c:pt>
                <c:pt idx="660">
                  <c:v>31190000</c:v>
                </c:pt>
                <c:pt idx="661">
                  <c:v>40170000</c:v>
                </c:pt>
                <c:pt idx="662">
                  <c:v>23090000</c:v>
                </c:pt>
                <c:pt idx="663">
                  <c:v>18380000</c:v>
                </c:pt>
                <c:pt idx="664">
                  <c:v>14720000</c:v>
                </c:pt>
                <c:pt idx="665">
                  <c:v>30740000</c:v>
                </c:pt>
                <c:pt idx="666">
                  <c:v>19590000</c:v>
                </c:pt>
                <c:pt idx="667">
                  <c:v>29640000</c:v>
                </c:pt>
                <c:pt idx="668">
                  <c:v>18780000</c:v>
                </c:pt>
                <c:pt idx="669">
                  <c:v>23320000</c:v>
                </c:pt>
                <c:pt idx="670">
                  <c:v>30840000</c:v>
                </c:pt>
                <c:pt idx="671">
                  <c:v>38340000</c:v>
                </c:pt>
                <c:pt idx="672">
                  <c:v>17950000</c:v>
                </c:pt>
                <c:pt idx="673">
                  <c:v>3970000</c:v>
                </c:pt>
                <c:pt idx="674">
                  <c:v>23580000</c:v>
                </c:pt>
                <c:pt idx="675">
                  <c:v>22980000</c:v>
                </c:pt>
                <c:pt idx="676">
                  <c:v>22550000</c:v>
                </c:pt>
                <c:pt idx="677">
                  <c:v>25820000</c:v>
                </c:pt>
                <c:pt idx="678">
                  <c:v>27880000</c:v>
                </c:pt>
                <c:pt idx="679">
                  <c:v>31750000</c:v>
                </c:pt>
                <c:pt idx="680">
                  <c:v>72540000</c:v>
                </c:pt>
                <c:pt idx="681">
                  <c:v>24720000</c:v>
                </c:pt>
                <c:pt idx="682">
                  <c:v>22320000</c:v>
                </c:pt>
                <c:pt idx="683">
                  <c:v>18750000</c:v>
                </c:pt>
                <c:pt idx="684">
                  <c:v>28420000</c:v>
                </c:pt>
                <c:pt idx="685">
                  <c:v>36300000</c:v>
                </c:pt>
                <c:pt idx="686">
                  <c:v>27350000</c:v>
                </c:pt>
                <c:pt idx="687">
                  <c:v>30700000</c:v>
                </c:pt>
                <c:pt idx="688">
                  <c:v>30750000</c:v>
                </c:pt>
                <c:pt idx="689">
                  <c:v>30940000</c:v>
                </c:pt>
                <c:pt idx="690">
                  <c:v>20930000</c:v>
                </c:pt>
                <c:pt idx="691">
                  <c:v>24240000</c:v>
                </c:pt>
                <c:pt idx="692">
                  <c:v>23870000</c:v>
                </c:pt>
                <c:pt idx="693">
                  <c:v>26910000</c:v>
                </c:pt>
                <c:pt idx="694">
                  <c:v>19360000</c:v>
                </c:pt>
                <c:pt idx="695">
                  <c:v>24460000</c:v>
                </c:pt>
                <c:pt idx="696">
                  <c:v>28750000</c:v>
                </c:pt>
                <c:pt idx="697">
                  <c:v>21460000</c:v>
                </c:pt>
                <c:pt idx="698">
                  <c:v>21930000</c:v>
                </c:pt>
                <c:pt idx="699">
                  <c:v>27060000</c:v>
                </c:pt>
                <c:pt idx="700">
                  <c:v>33270000.000000004</c:v>
                </c:pt>
                <c:pt idx="701">
                  <c:v>18610000</c:v>
                </c:pt>
                <c:pt idx="702">
                  <c:v>28410000</c:v>
                </c:pt>
                <c:pt idx="703">
                  <c:v>29980000</c:v>
                </c:pt>
                <c:pt idx="704">
                  <c:v>33280000</c:v>
                </c:pt>
                <c:pt idx="705">
                  <c:v>48940000</c:v>
                </c:pt>
                <c:pt idx="706">
                  <c:v>23470000</c:v>
                </c:pt>
                <c:pt idx="707">
                  <c:v>34060000</c:v>
                </c:pt>
                <c:pt idx="708">
                  <c:v>29830000</c:v>
                </c:pt>
                <c:pt idx="709">
                  <c:v>43630000</c:v>
                </c:pt>
                <c:pt idx="710">
                  <c:v>62420000</c:v>
                </c:pt>
                <c:pt idx="711">
                  <c:v>85060000</c:v>
                </c:pt>
                <c:pt idx="712">
                  <c:v>58800000</c:v>
                </c:pt>
                <c:pt idx="713">
                  <c:v>23370000</c:v>
                </c:pt>
                <c:pt idx="714">
                  <c:v>38070000</c:v>
                </c:pt>
                <c:pt idx="715">
                  <c:v>33380000.000000004</c:v>
                </c:pt>
                <c:pt idx="716">
                  <c:v>34310000</c:v>
                </c:pt>
                <c:pt idx="717">
                  <c:v>30270000</c:v>
                </c:pt>
                <c:pt idx="718">
                  <c:v>36060000</c:v>
                </c:pt>
                <c:pt idx="719">
                  <c:v>36470000</c:v>
                </c:pt>
                <c:pt idx="720">
                  <c:v>68530000</c:v>
                </c:pt>
                <c:pt idx="721">
                  <c:v>76460000</c:v>
                </c:pt>
                <c:pt idx="722">
                  <c:v>60630000</c:v>
                </c:pt>
                <c:pt idx="723">
                  <c:v>51470000</c:v>
                </c:pt>
                <c:pt idx="724">
                  <c:v>36040000</c:v>
                </c:pt>
                <c:pt idx="725">
                  <c:v>19220000</c:v>
                </c:pt>
                <c:pt idx="726">
                  <c:v>23690000</c:v>
                </c:pt>
                <c:pt idx="727">
                  <c:v>27100000</c:v>
                </c:pt>
                <c:pt idx="728">
                  <c:v>43740000</c:v>
                </c:pt>
                <c:pt idx="729">
                  <c:v>17340000</c:v>
                </c:pt>
                <c:pt idx="730">
                  <c:v>22630000</c:v>
                </c:pt>
                <c:pt idx="731">
                  <c:v>30380000</c:v>
                </c:pt>
                <c:pt idx="732">
                  <c:v>28460000</c:v>
                </c:pt>
                <c:pt idx="733">
                  <c:v>31250000</c:v>
                </c:pt>
                <c:pt idx="734">
                  <c:v>33100000</c:v>
                </c:pt>
                <c:pt idx="735">
                  <c:v>26340000</c:v>
                </c:pt>
                <c:pt idx="736">
                  <c:v>24440000</c:v>
                </c:pt>
                <c:pt idx="737">
                  <c:v>34150000</c:v>
                </c:pt>
                <c:pt idx="738">
                  <c:v>21280000</c:v>
                </c:pt>
                <c:pt idx="739">
                  <c:v>20710000</c:v>
                </c:pt>
                <c:pt idx="740">
                  <c:v>22300000</c:v>
                </c:pt>
                <c:pt idx="741">
                  <c:v>34620000</c:v>
                </c:pt>
                <c:pt idx="742">
                  <c:v>54950000</c:v>
                </c:pt>
                <c:pt idx="743">
                  <c:v>27860000</c:v>
                </c:pt>
                <c:pt idx="744">
                  <c:v>52330000</c:v>
                </c:pt>
                <c:pt idx="745">
                  <c:v>34000000</c:v>
                </c:pt>
                <c:pt idx="746">
                  <c:v>39660000</c:v>
                </c:pt>
                <c:pt idx="747">
                  <c:v>29720000</c:v>
                </c:pt>
                <c:pt idx="748">
                  <c:v>88040000</c:v>
                </c:pt>
                <c:pt idx="749">
                  <c:v>38110000</c:v>
                </c:pt>
                <c:pt idx="750">
                  <c:v>31550000</c:v>
                </c:pt>
                <c:pt idx="751">
                  <c:v>22300000</c:v>
                </c:pt>
                <c:pt idx="752">
                  <c:v>17220000</c:v>
                </c:pt>
                <c:pt idx="753">
                  <c:v>23430000</c:v>
                </c:pt>
                <c:pt idx="754">
                  <c:v>49120000</c:v>
                </c:pt>
                <c:pt idx="755">
                  <c:v>34520000</c:v>
                </c:pt>
                <c:pt idx="756">
                  <c:v>44850000</c:v>
                </c:pt>
                <c:pt idx="757">
                  <c:v>32770000.000000004</c:v>
                </c:pt>
                <c:pt idx="758">
                  <c:v>38000000</c:v>
                </c:pt>
                <c:pt idx="759">
                  <c:v>60650000</c:v>
                </c:pt>
                <c:pt idx="760">
                  <c:v>30030000</c:v>
                </c:pt>
                <c:pt idx="761">
                  <c:v>34320000</c:v>
                </c:pt>
                <c:pt idx="762">
                  <c:v>27880000</c:v>
                </c:pt>
                <c:pt idx="763">
                  <c:v>25080000</c:v>
                </c:pt>
                <c:pt idx="764">
                  <c:v>30980000</c:v>
                </c:pt>
                <c:pt idx="765">
                  <c:v>26740000</c:v>
                </c:pt>
                <c:pt idx="766">
                  <c:v>23900000</c:v>
                </c:pt>
                <c:pt idx="767">
                  <c:v>24130000</c:v>
                </c:pt>
                <c:pt idx="768">
                  <c:v>25330000</c:v>
                </c:pt>
                <c:pt idx="769">
                  <c:v>22190000</c:v>
                </c:pt>
                <c:pt idx="770">
                  <c:v>34770000</c:v>
                </c:pt>
                <c:pt idx="771">
                  <c:v>35630000</c:v>
                </c:pt>
                <c:pt idx="772">
                  <c:v>30370000</c:v>
                </c:pt>
                <c:pt idx="773">
                  <c:v>33500000</c:v>
                </c:pt>
                <c:pt idx="774">
                  <c:v>31720000</c:v>
                </c:pt>
                <c:pt idx="775">
                  <c:v>39430000</c:v>
                </c:pt>
                <c:pt idx="776">
                  <c:v>66700000</c:v>
                </c:pt>
                <c:pt idx="777">
                  <c:v>30020000</c:v>
                </c:pt>
                <c:pt idx="778">
                  <c:v>23470000</c:v>
                </c:pt>
                <c:pt idx="779">
                  <c:v>36390000</c:v>
                </c:pt>
                <c:pt idx="780">
                  <c:v>46380000</c:v>
                </c:pt>
                <c:pt idx="781">
                  <c:v>45160000</c:v>
                </c:pt>
                <c:pt idx="782">
                  <c:v>26750000</c:v>
                </c:pt>
                <c:pt idx="783">
                  <c:v>39640000</c:v>
                </c:pt>
                <c:pt idx="784">
                  <c:v>46690000</c:v>
                </c:pt>
                <c:pt idx="785">
                  <c:v>21210000</c:v>
                </c:pt>
                <c:pt idx="786">
                  <c:v>41250000</c:v>
                </c:pt>
                <c:pt idx="787">
                  <c:v>33479999.999999996</c:v>
                </c:pt>
                <c:pt idx="788">
                  <c:v>41060000</c:v>
                </c:pt>
                <c:pt idx="789">
                  <c:v>28360000</c:v>
                </c:pt>
                <c:pt idx="790">
                  <c:v>25890000</c:v>
                </c:pt>
                <c:pt idx="791">
                  <c:v>28450000</c:v>
                </c:pt>
                <c:pt idx="792">
                  <c:v>21300000</c:v>
                </c:pt>
                <c:pt idx="793">
                  <c:v>21590000</c:v>
                </c:pt>
                <c:pt idx="794">
                  <c:v>29850000</c:v>
                </c:pt>
                <c:pt idx="795">
                  <c:v>24210000</c:v>
                </c:pt>
                <c:pt idx="796">
                  <c:v>28900000</c:v>
                </c:pt>
                <c:pt idx="797">
                  <c:v>18590000</c:v>
                </c:pt>
                <c:pt idx="798">
                  <c:v>22150000</c:v>
                </c:pt>
                <c:pt idx="799">
                  <c:v>36790000</c:v>
                </c:pt>
                <c:pt idx="800">
                  <c:v>19820000</c:v>
                </c:pt>
                <c:pt idx="801">
                  <c:v>19210000</c:v>
                </c:pt>
                <c:pt idx="802">
                  <c:v>28000000</c:v>
                </c:pt>
                <c:pt idx="803">
                  <c:v>23130000</c:v>
                </c:pt>
                <c:pt idx="804">
                  <c:v>32960000</c:v>
                </c:pt>
                <c:pt idx="805">
                  <c:v>38640000</c:v>
                </c:pt>
                <c:pt idx="806">
                  <c:v>51270000</c:v>
                </c:pt>
                <c:pt idx="807">
                  <c:v>52820000</c:v>
                </c:pt>
                <c:pt idx="808">
                  <c:v>30070000</c:v>
                </c:pt>
                <c:pt idx="809">
                  <c:v>22360000</c:v>
                </c:pt>
                <c:pt idx="810">
                  <c:v>23590000</c:v>
                </c:pt>
                <c:pt idx="811">
                  <c:v>23330000</c:v>
                </c:pt>
                <c:pt idx="812">
                  <c:v>23480000</c:v>
                </c:pt>
                <c:pt idx="813">
                  <c:v>37640000</c:v>
                </c:pt>
                <c:pt idx="814">
                  <c:v>18340000</c:v>
                </c:pt>
                <c:pt idx="815">
                  <c:v>62100000</c:v>
                </c:pt>
                <c:pt idx="816">
                  <c:v>25480000</c:v>
                </c:pt>
                <c:pt idx="817">
                  <c:v>24640000</c:v>
                </c:pt>
                <c:pt idx="818">
                  <c:v>34880000</c:v>
                </c:pt>
                <c:pt idx="819">
                  <c:v>27350000</c:v>
                </c:pt>
                <c:pt idx="820">
                  <c:v>49300000</c:v>
                </c:pt>
                <c:pt idx="821">
                  <c:v>19990000</c:v>
                </c:pt>
                <c:pt idx="822">
                  <c:v>21050000</c:v>
                </c:pt>
                <c:pt idx="823">
                  <c:v>25190000</c:v>
                </c:pt>
                <c:pt idx="824">
                  <c:v>21840000</c:v>
                </c:pt>
                <c:pt idx="825">
                  <c:v>34580000</c:v>
                </c:pt>
                <c:pt idx="826">
                  <c:v>37220000</c:v>
                </c:pt>
                <c:pt idx="827">
                  <c:v>18700000</c:v>
                </c:pt>
                <c:pt idx="828">
                  <c:v>24750000</c:v>
                </c:pt>
                <c:pt idx="829">
                  <c:v>39010000</c:v>
                </c:pt>
                <c:pt idx="830">
                  <c:v>20910000</c:v>
                </c:pt>
                <c:pt idx="831">
                  <c:v>25890000</c:v>
                </c:pt>
                <c:pt idx="832">
                  <c:v>26430000</c:v>
                </c:pt>
                <c:pt idx="833">
                  <c:v>41570000</c:v>
                </c:pt>
                <c:pt idx="834">
                  <c:v>48960000</c:v>
                </c:pt>
                <c:pt idx="835">
                  <c:v>81090000</c:v>
                </c:pt>
                <c:pt idx="836">
                  <c:v>38930000</c:v>
                </c:pt>
                <c:pt idx="837">
                  <c:v>48580000</c:v>
                </c:pt>
                <c:pt idx="838">
                  <c:v>34550000</c:v>
                </c:pt>
                <c:pt idx="839">
                  <c:v>47700000</c:v>
                </c:pt>
                <c:pt idx="840">
                  <c:v>51970000</c:v>
                </c:pt>
                <c:pt idx="841">
                  <c:v>43940000</c:v>
                </c:pt>
                <c:pt idx="842">
                  <c:v>106870000</c:v>
                </c:pt>
                <c:pt idx="843">
                  <c:v>117180000</c:v>
                </c:pt>
                <c:pt idx="844">
                  <c:v>55280000</c:v>
                </c:pt>
                <c:pt idx="845">
                  <c:v>76180000</c:v>
                </c:pt>
                <c:pt idx="846">
                  <c:v>76540000</c:v>
                </c:pt>
                <c:pt idx="847">
                  <c:v>56220000</c:v>
                </c:pt>
                <c:pt idx="848">
                  <c:v>34330000</c:v>
                </c:pt>
                <c:pt idx="849">
                  <c:v>30850000</c:v>
                </c:pt>
                <c:pt idx="850">
                  <c:v>24390000</c:v>
                </c:pt>
                <c:pt idx="851">
                  <c:v>29830000</c:v>
                </c:pt>
                <c:pt idx="852">
                  <c:v>19900000</c:v>
                </c:pt>
                <c:pt idx="853">
                  <c:v>34110000</c:v>
                </c:pt>
                <c:pt idx="854">
                  <c:v>30960000</c:v>
                </c:pt>
                <c:pt idx="855">
                  <c:v>35540000</c:v>
                </c:pt>
                <c:pt idx="856">
                  <c:v>31160000</c:v>
                </c:pt>
                <c:pt idx="857">
                  <c:v>56190000</c:v>
                </c:pt>
                <c:pt idx="858">
                  <c:v>60810000</c:v>
                </c:pt>
                <c:pt idx="859">
                  <c:v>64709999.999999993</c:v>
                </c:pt>
                <c:pt idx="860">
                  <c:v>66519999.999999993</c:v>
                </c:pt>
                <c:pt idx="861">
                  <c:v>110950000</c:v>
                </c:pt>
                <c:pt idx="862">
                  <c:v>49550000</c:v>
                </c:pt>
                <c:pt idx="863">
                  <c:v>46980000</c:v>
                </c:pt>
                <c:pt idx="864">
                  <c:v>38770000</c:v>
                </c:pt>
                <c:pt idx="865">
                  <c:v>72920000</c:v>
                </c:pt>
                <c:pt idx="866">
                  <c:v>43990000</c:v>
                </c:pt>
                <c:pt idx="867">
                  <c:v>46550000</c:v>
                </c:pt>
                <c:pt idx="868">
                  <c:v>58770000</c:v>
                </c:pt>
                <c:pt idx="869">
                  <c:v>46520000</c:v>
                </c:pt>
                <c:pt idx="870">
                  <c:v>27710000</c:v>
                </c:pt>
                <c:pt idx="871">
                  <c:v>28600000</c:v>
                </c:pt>
                <c:pt idx="872">
                  <c:v>37780000</c:v>
                </c:pt>
                <c:pt idx="873">
                  <c:v>53560000</c:v>
                </c:pt>
                <c:pt idx="874">
                  <c:v>64750000</c:v>
                </c:pt>
                <c:pt idx="875">
                  <c:v>27880000</c:v>
                </c:pt>
                <c:pt idx="876">
                  <c:v>44360000</c:v>
                </c:pt>
                <c:pt idx="877">
                  <c:v>68880000</c:v>
                </c:pt>
                <c:pt idx="878">
                  <c:v>33740000</c:v>
                </c:pt>
                <c:pt idx="879">
                  <c:v>49320000</c:v>
                </c:pt>
                <c:pt idx="880">
                  <c:v>56750000</c:v>
                </c:pt>
                <c:pt idx="881">
                  <c:v>37760000</c:v>
                </c:pt>
                <c:pt idx="882">
                  <c:v>58550000</c:v>
                </c:pt>
                <c:pt idx="883">
                  <c:v>58810000</c:v>
                </c:pt>
                <c:pt idx="884">
                  <c:v>55630000</c:v>
                </c:pt>
                <c:pt idx="885">
                  <c:v>74420000</c:v>
                </c:pt>
                <c:pt idx="886">
                  <c:v>143440000</c:v>
                </c:pt>
                <c:pt idx="887">
                  <c:v>56050000</c:v>
                </c:pt>
                <c:pt idx="888">
                  <c:v>51750000</c:v>
                </c:pt>
                <c:pt idx="889">
                  <c:v>50660000</c:v>
                </c:pt>
                <c:pt idx="890">
                  <c:v>76030000</c:v>
                </c:pt>
                <c:pt idx="891">
                  <c:v>34000000</c:v>
                </c:pt>
                <c:pt idx="892">
                  <c:v>46760000</c:v>
                </c:pt>
                <c:pt idx="893">
                  <c:v>39640000</c:v>
                </c:pt>
                <c:pt idx="894">
                  <c:v>32299999.999999996</c:v>
                </c:pt>
                <c:pt idx="895">
                  <c:v>34840000</c:v>
                </c:pt>
                <c:pt idx="896">
                  <c:v>17300000</c:v>
                </c:pt>
                <c:pt idx="897">
                  <c:v>34740000</c:v>
                </c:pt>
                <c:pt idx="898">
                  <c:v>34360000</c:v>
                </c:pt>
                <c:pt idx="899">
                  <c:v>38610000</c:v>
                </c:pt>
                <c:pt idx="900">
                  <c:v>32259999.999999996</c:v>
                </c:pt>
                <c:pt idx="901">
                  <c:v>37080000</c:v>
                </c:pt>
                <c:pt idx="902">
                  <c:v>35670000</c:v>
                </c:pt>
                <c:pt idx="903">
                  <c:v>32420000</c:v>
                </c:pt>
                <c:pt idx="904">
                  <c:v>39490000</c:v>
                </c:pt>
                <c:pt idx="905">
                  <c:v>50580000</c:v>
                </c:pt>
                <c:pt idx="906">
                  <c:v>96440000</c:v>
                </c:pt>
                <c:pt idx="907">
                  <c:v>70540000</c:v>
                </c:pt>
                <c:pt idx="908">
                  <c:v>91700000</c:v>
                </c:pt>
                <c:pt idx="909">
                  <c:v>61140000</c:v>
                </c:pt>
                <c:pt idx="910">
                  <c:v>40660000</c:v>
                </c:pt>
                <c:pt idx="911">
                  <c:v>33520000.000000004</c:v>
                </c:pt>
                <c:pt idx="912">
                  <c:v>27360000</c:v>
                </c:pt>
                <c:pt idx="913">
                  <c:v>23740000</c:v>
                </c:pt>
                <c:pt idx="914">
                  <c:v>22810000</c:v>
                </c:pt>
                <c:pt idx="915">
                  <c:v>27850000</c:v>
                </c:pt>
                <c:pt idx="916">
                  <c:v>58400000</c:v>
                </c:pt>
                <c:pt idx="917">
                  <c:v>28990000</c:v>
                </c:pt>
                <c:pt idx="918">
                  <c:v>32890000</c:v>
                </c:pt>
                <c:pt idx="919">
                  <c:v>40400000</c:v>
                </c:pt>
                <c:pt idx="920">
                  <c:v>35010000</c:v>
                </c:pt>
                <c:pt idx="921">
                  <c:v>55470000</c:v>
                </c:pt>
                <c:pt idx="922">
                  <c:v>77930000</c:v>
                </c:pt>
                <c:pt idx="923">
                  <c:v>27860000</c:v>
                </c:pt>
                <c:pt idx="924">
                  <c:v>38300000</c:v>
                </c:pt>
                <c:pt idx="925">
                  <c:v>74430000</c:v>
                </c:pt>
                <c:pt idx="926">
                  <c:v>70300000</c:v>
                </c:pt>
                <c:pt idx="927">
                  <c:v>39110000</c:v>
                </c:pt>
                <c:pt idx="928">
                  <c:v>42340000</c:v>
                </c:pt>
                <c:pt idx="929">
                  <c:v>69030000</c:v>
                </c:pt>
                <c:pt idx="930">
                  <c:v>38720000</c:v>
                </c:pt>
                <c:pt idx="931">
                  <c:v>51010000</c:v>
                </c:pt>
                <c:pt idx="932">
                  <c:v>74350000</c:v>
                </c:pt>
                <c:pt idx="933">
                  <c:v>37160000</c:v>
                </c:pt>
                <c:pt idx="934">
                  <c:v>7480000</c:v>
                </c:pt>
                <c:pt idx="935">
                  <c:v>30970000</c:v>
                </c:pt>
                <c:pt idx="936">
                  <c:v>38090000</c:v>
                </c:pt>
                <c:pt idx="937">
                  <c:v>38760000</c:v>
                </c:pt>
                <c:pt idx="938">
                  <c:v>30720000</c:v>
                </c:pt>
                <c:pt idx="939">
                  <c:v>37570000</c:v>
                </c:pt>
                <c:pt idx="940">
                  <c:v>32460000</c:v>
                </c:pt>
                <c:pt idx="941">
                  <c:v>34670000</c:v>
                </c:pt>
                <c:pt idx="942">
                  <c:v>41360000</c:v>
                </c:pt>
                <c:pt idx="943">
                  <c:v>41080000</c:v>
                </c:pt>
                <c:pt idx="944">
                  <c:v>36640000</c:v>
                </c:pt>
                <c:pt idx="945">
                  <c:v>36080000</c:v>
                </c:pt>
                <c:pt idx="946">
                  <c:v>48170000</c:v>
                </c:pt>
                <c:pt idx="947">
                  <c:v>40190000</c:v>
                </c:pt>
                <c:pt idx="948">
                  <c:v>37280000</c:v>
                </c:pt>
                <c:pt idx="949">
                  <c:v>66440000</c:v>
                </c:pt>
                <c:pt idx="950">
                  <c:v>60880000</c:v>
                </c:pt>
                <c:pt idx="951">
                  <c:v>71720000</c:v>
                </c:pt>
                <c:pt idx="952">
                  <c:v>104950000</c:v>
                </c:pt>
                <c:pt idx="953">
                  <c:v>101290000</c:v>
                </c:pt>
                <c:pt idx="954">
                  <c:v>109770000</c:v>
                </c:pt>
                <c:pt idx="955">
                  <c:v>61380000</c:v>
                </c:pt>
                <c:pt idx="956">
                  <c:v>46140000</c:v>
                </c:pt>
                <c:pt idx="957">
                  <c:v>52140000</c:v>
                </c:pt>
                <c:pt idx="958">
                  <c:v>51150000</c:v>
                </c:pt>
                <c:pt idx="959">
                  <c:v>107970000</c:v>
                </c:pt>
                <c:pt idx="960">
                  <c:v>62930000</c:v>
                </c:pt>
                <c:pt idx="961">
                  <c:v>86380000</c:v>
                </c:pt>
                <c:pt idx="962">
                  <c:v>44180000</c:v>
                </c:pt>
                <c:pt idx="963">
                  <c:v>40840000</c:v>
                </c:pt>
                <c:pt idx="964">
                  <c:v>63650000</c:v>
                </c:pt>
                <c:pt idx="965">
                  <c:v>71230000</c:v>
                </c:pt>
                <c:pt idx="966">
                  <c:v>43950000</c:v>
                </c:pt>
                <c:pt idx="967">
                  <c:v>59510000</c:v>
                </c:pt>
                <c:pt idx="968">
                  <c:v>40350000</c:v>
                </c:pt>
                <c:pt idx="969">
                  <c:v>45600000</c:v>
                </c:pt>
                <c:pt idx="970">
                  <c:v>52450000</c:v>
                </c:pt>
                <c:pt idx="971">
                  <c:v>67400000</c:v>
                </c:pt>
                <c:pt idx="972">
                  <c:v>59900000</c:v>
                </c:pt>
                <c:pt idx="973">
                  <c:v>71260000</c:v>
                </c:pt>
                <c:pt idx="974">
                  <c:v>42190000</c:v>
                </c:pt>
                <c:pt idx="975">
                  <c:v>55690000</c:v>
                </c:pt>
                <c:pt idx="976">
                  <c:v>70530000</c:v>
                </c:pt>
                <c:pt idx="977">
                  <c:v>74040000</c:v>
                </c:pt>
                <c:pt idx="978">
                  <c:v>57130000</c:v>
                </c:pt>
                <c:pt idx="979">
                  <c:v>49400000</c:v>
                </c:pt>
                <c:pt idx="980">
                  <c:v>54010000</c:v>
                </c:pt>
                <c:pt idx="981">
                  <c:v>69210000</c:v>
                </c:pt>
                <c:pt idx="982">
                  <c:v>95940000</c:v>
                </c:pt>
                <c:pt idx="983">
                  <c:v>75320000</c:v>
                </c:pt>
                <c:pt idx="984">
                  <c:v>73880000</c:v>
                </c:pt>
                <c:pt idx="985">
                  <c:v>41380000</c:v>
                </c:pt>
                <c:pt idx="986">
                  <c:v>54470000</c:v>
                </c:pt>
                <c:pt idx="987">
                  <c:v>79530000</c:v>
                </c:pt>
                <c:pt idx="988">
                  <c:v>61430000</c:v>
                </c:pt>
                <c:pt idx="989">
                  <c:v>64940000</c:v>
                </c:pt>
              </c:numCache>
            </c:numRef>
          </c:val>
          <c:smooth val="0"/>
          <c:extLst>
            <c:ext xmlns:c16="http://schemas.microsoft.com/office/drawing/2014/chart" uri="{C3380CC4-5D6E-409C-BE32-E72D297353CC}">
              <c16:uniqueId val="{00000000-BC5B-4FF6-9E49-04D39A4F2126}"/>
            </c:ext>
          </c:extLst>
        </c:ser>
        <c:dLbls>
          <c:showLegendKey val="0"/>
          <c:showVal val="0"/>
          <c:showCatName val="0"/>
          <c:showSerName val="0"/>
          <c:showPercent val="0"/>
          <c:showBubbleSize val="0"/>
        </c:dLbls>
        <c:smooth val="0"/>
        <c:axId val="15049024"/>
        <c:axId val="151398352"/>
      </c:lineChart>
      <c:dateAx>
        <c:axId val="15049024"/>
        <c:scaling>
          <c:orientation val="minMax"/>
        </c:scaling>
        <c:delete val="1"/>
        <c:axPos val="b"/>
        <c:numFmt formatCode="m/d/yyyy" sourceLinked="1"/>
        <c:majorTickMark val="out"/>
        <c:minorTickMark val="none"/>
        <c:tickLblPos val="nextTo"/>
        <c:crossAx val="151398352"/>
        <c:crosses val="autoZero"/>
        <c:auto val="1"/>
        <c:lblOffset val="100"/>
        <c:baseTimeUnit val="days"/>
      </c:dateAx>
      <c:valAx>
        <c:axId val="151398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47424175822179"/>
          <c:y val="8.0317784675379603E-2"/>
          <c:w val="0.74992020616363064"/>
          <c:h val="0.75029838767170232"/>
        </c:manualLayout>
      </c:layout>
      <c:barChart>
        <c:barDir val="col"/>
        <c:grouping val="clustered"/>
        <c:varyColors val="0"/>
        <c:ser>
          <c:idx val="1"/>
          <c:order val="0"/>
          <c:tx>
            <c:v>Current Ratio</c:v>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'!$C$6:$G$6</c:f>
              <c:strCache>
                <c:ptCount val="5"/>
                <c:pt idx="0">
                  <c:v>FY22</c:v>
                </c:pt>
                <c:pt idx="1">
                  <c:v>FY23</c:v>
                </c:pt>
                <c:pt idx="2">
                  <c:v>FY24</c:v>
                </c:pt>
                <c:pt idx="3">
                  <c:v>FY25</c:v>
                </c:pt>
                <c:pt idx="4">
                  <c:v>FY26</c:v>
                </c:pt>
              </c:strCache>
            </c:strRef>
          </c:cat>
          <c:val>
            <c:numRef>
              <c:f>'Ratio Analysis '!$C$7:$G$7</c:f>
              <c:numCache>
                <c:formatCode>0.00</c:formatCode>
                <c:ptCount val="5"/>
                <c:pt idx="0">
                  <c:v>0.83285019857758202</c:v>
                </c:pt>
                <c:pt idx="1">
                  <c:v>0.7804284369747968</c:v>
                </c:pt>
                <c:pt idx="2">
                  <c:v>0.71067228681470085</c:v>
                </c:pt>
                <c:pt idx="3">
                  <c:v>0.68721000269310151</c:v>
                </c:pt>
                <c:pt idx="4">
                  <c:v>0.61024334849633644</c:v>
                </c:pt>
              </c:numCache>
            </c:numRef>
          </c:val>
          <c:extLst>
            <c:ext xmlns:c16="http://schemas.microsoft.com/office/drawing/2014/chart" uri="{C3380CC4-5D6E-409C-BE32-E72D297353CC}">
              <c16:uniqueId val="{00000003-E2BA-4F5E-83CD-0B4589AC3346}"/>
            </c:ext>
          </c:extLst>
        </c:ser>
        <c:ser>
          <c:idx val="2"/>
          <c:order val="1"/>
          <c:tx>
            <c:v>Quick Ratio</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'!$C$6:$G$6</c:f>
              <c:strCache>
                <c:ptCount val="5"/>
                <c:pt idx="0">
                  <c:v>FY22</c:v>
                </c:pt>
                <c:pt idx="1">
                  <c:v>FY23</c:v>
                </c:pt>
                <c:pt idx="2">
                  <c:v>FY24</c:v>
                </c:pt>
                <c:pt idx="3">
                  <c:v>FY25</c:v>
                </c:pt>
                <c:pt idx="4">
                  <c:v>FY26</c:v>
                </c:pt>
              </c:strCache>
            </c:strRef>
          </c:cat>
          <c:val>
            <c:numRef>
              <c:f>'Ratio Analysis '!$C$8:$G$8</c:f>
              <c:numCache>
                <c:formatCode>0.00</c:formatCode>
                <c:ptCount val="5"/>
                <c:pt idx="0">
                  <c:v>0.30454650905112118</c:v>
                </c:pt>
                <c:pt idx="1">
                  <c:v>0.22186779124709005</c:v>
                </c:pt>
                <c:pt idx="2">
                  <c:v>0.16565581464243845</c:v>
                </c:pt>
                <c:pt idx="3">
                  <c:v>0.18893101748951535</c:v>
                </c:pt>
                <c:pt idx="4">
                  <c:v>0.14685801413402544</c:v>
                </c:pt>
              </c:numCache>
            </c:numRef>
          </c:val>
          <c:extLst>
            <c:ext xmlns:c16="http://schemas.microsoft.com/office/drawing/2014/chart" uri="{C3380CC4-5D6E-409C-BE32-E72D297353CC}">
              <c16:uniqueId val="{00000004-E2BA-4F5E-83CD-0B4589AC3346}"/>
            </c:ext>
          </c:extLst>
        </c:ser>
        <c:dLbls>
          <c:dLblPos val="outEnd"/>
          <c:showLegendKey val="0"/>
          <c:showVal val="1"/>
          <c:showCatName val="0"/>
          <c:showSerName val="0"/>
          <c:showPercent val="0"/>
          <c:showBubbleSize val="0"/>
        </c:dLbls>
        <c:gapWidth val="150"/>
        <c:axId val="1224478384"/>
        <c:axId val="788192144"/>
      </c:barChart>
      <c:catAx>
        <c:axId val="1224478384"/>
        <c:scaling>
          <c:orientation val="minMax"/>
        </c:scaling>
        <c:delete val="0"/>
        <c:axPos val="b"/>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92144"/>
        <c:crosses val="autoZero"/>
        <c:auto val="1"/>
        <c:lblAlgn val="ctr"/>
        <c:lblOffset val="100"/>
        <c:noMultiLvlLbl val="0"/>
      </c:catAx>
      <c:valAx>
        <c:axId val="788192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78384"/>
        <c:crosses val="autoZero"/>
        <c:crossBetween val="between"/>
      </c:valAx>
      <c:spPr>
        <a:noFill/>
        <a:ln>
          <a:noFill/>
        </a:ln>
        <a:effectLst/>
      </c:spPr>
    </c:plotArea>
    <c:legend>
      <c:legendPos val="r"/>
      <c:layout>
        <c:manualLayout>
          <c:xMode val="edge"/>
          <c:yMode val="edge"/>
          <c:x val="0.84853984350837397"/>
          <c:y val="0.18350155476397628"/>
          <c:w val="0.14916449769087453"/>
          <c:h val="0.16723095950590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1811970165364484"/>
          <c:y val="7.2526281950606619E-2"/>
          <c:w val="0.86402772536619432"/>
          <c:h val="0.8496427515406193"/>
        </c:manualLayout>
      </c:layout>
      <c:barChart>
        <c:barDir val="col"/>
        <c:grouping val="clustered"/>
        <c:varyColors val="0"/>
        <c:ser>
          <c:idx val="0"/>
          <c:order val="0"/>
          <c:tx>
            <c:strRef>
              <c:f>'Ratio Analysis '!$B$18</c:f>
              <c:strCache>
                <c:ptCount val="1"/>
                <c:pt idx="0">
                  <c:v>Gross Profit Margin </c:v>
                </c:pt>
              </c:strCache>
            </c:strRef>
          </c:tx>
          <c:spPr>
            <a:solidFill>
              <a:schemeClr val="accent4">
                <a:shade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'!$C$18:$G$18</c:f>
              <c:numCache>
                <c:formatCode>0.00%</c:formatCode>
                <c:ptCount val="5"/>
                <c:pt idx="0">
                  <c:v>0.41135563791268842</c:v>
                </c:pt>
                <c:pt idx="1">
                  <c:v>0.26719790933891058</c:v>
                </c:pt>
                <c:pt idx="2">
                  <c:v>0.20079322503505903</c:v>
                </c:pt>
                <c:pt idx="3">
                  <c:v>0.21427190526913958</c:v>
                </c:pt>
                <c:pt idx="4">
                  <c:v>0.26149812910264386</c:v>
                </c:pt>
              </c:numCache>
            </c:numRef>
          </c:val>
          <c:extLst>
            <c:ext xmlns:c16="http://schemas.microsoft.com/office/drawing/2014/chart" uri="{C3380CC4-5D6E-409C-BE32-E72D297353CC}">
              <c16:uniqueId val="{00000001-40EC-4F5C-A928-2A00FB04D997}"/>
            </c:ext>
          </c:extLst>
        </c:ser>
        <c:ser>
          <c:idx val="1"/>
          <c:order val="1"/>
          <c:tx>
            <c:strRef>
              <c:f>'Ratio Analysis '!$B$19</c:f>
              <c:strCache>
                <c:ptCount val="1"/>
                <c:pt idx="0">
                  <c:v>Operating Profit Margin </c:v>
                </c:pt>
              </c:strCache>
            </c:strRef>
          </c:tx>
          <c:spPr>
            <a:solidFill>
              <a:schemeClr val="accent4">
                <a:shade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'!$C$19:$G$19</c:f>
              <c:numCache>
                <c:formatCode>0.00%</c:formatCode>
                <c:ptCount val="5"/>
                <c:pt idx="0">
                  <c:v>0.26024826203499546</c:v>
                </c:pt>
                <c:pt idx="1">
                  <c:v>0.13272982517678361</c:v>
                </c:pt>
                <c:pt idx="2">
                  <c:v>9.708009022790777E-2</c:v>
                </c:pt>
                <c:pt idx="3">
                  <c:v>0.11575985834517957</c:v>
                </c:pt>
                <c:pt idx="4">
                  <c:v>0.14798160109802735</c:v>
                </c:pt>
              </c:numCache>
            </c:numRef>
          </c:val>
          <c:extLst>
            <c:ext xmlns:c16="http://schemas.microsoft.com/office/drawing/2014/chart" uri="{C3380CC4-5D6E-409C-BE32-E72D297353CC}">
              <c16:uniqueId val="{00000002-40EC-4F5C-A928-2A00FB04D997}"/>
            </c:ext>
          </c:extLst>
        </c:ser>
        <c:ser>
          <c:idx val="2"/>
          <c:order val="2"/>
          <c:tx>
            <c:strRef>
              <c:f>'Ratio Analysis '!$B$20</c:f>
              <c:strCache>
                <c:ptCount val="1"/>
                <c:pt idx="0">
                  <c:v>Net Profit Margin</c:v>
                </c:pt>
              </c:strCache>
            </c:strRef>
          </c:tx>
          <c:spPr>
            <a:solidFill>
              <a:schemeClr val="accent4">
                <a:shade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'!$C$20:$G$20</c:f>
              <c:numCache>
                <c:formatCode>0.00%</c:formatCode>
                <c:ptCount val="5"/>
                <c:pt idx="0">
                  <c:v>0.17113240711550218</c:v>
                </c:pt>
                <c:pt idx="1">
                  <c:v>3.3183730165464852E-2</c:v>
                </c:pt>
                <c:pt idx="2">
                  <c:v>-2.1423368197289364E-2</c:v>
                </c:pt>
                <c:pt idx="3">
                  <c:v>1.4522483520483001E-2</c:v>
                </c:pt>
                <c:pt idx="4">
                  <c:v>4.6893352346003031E-2</c:v>
                </c:pt>
              </c:numCache>
            </c:numRef>
          </c:val>
          <c:extLst>
            <c:ext xmlns:c16="http://schemas.microsoft.com/office/drawing/2014/chart" uri="{C3380CC4-5D6E-409C-BE32-E72D297353CC}">
              <c16:uniqueId val="{00000003-40EC-4F5C-A928-2A00FB04D997}"/>
            </c:ext>
          </c:extLst>
        </c:ser>
        <c:ser>
          <c:idx val="3"/>
          <c:order val="3"/>
          <c:tx>
            <c:strRef>
              <c:f>'Ratio Analysis '!$B$21</c:f>
              <c:strCache>
                <c:ptCount val="1"/>
                <c:pt idx="0">
                  <c:v>Return on Assets </c:v>
                </c:pt>
              </c:strCache>
            </c:strRef>
          </c:tx>
          <c:spPr>
            <a:solidFill>
              <a:schemeClr val="accent4">
                <a:tint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'!$C$21:$G$21</c:f>
              <c:numCache>
                <c:formatCode>0.00%</c:formatCode>
                <c:ptCount val="5"/>
                <c:pt idx="0">
                  <c:v>0.15864287341996253</c:v>
                </c:pt>
                <c:pt idx="1">
                  <c:v>2.8443472457565427E-2</c:v>
                </c:pt>
                <c:pt idx="2">
                  <c:v>-1.7701595181033911E-2</c:v>
                </c:pt>
                <c:pt idx="3">
                  <c:v>1.1651794974402057E-2</c:v>
                </c:pt>
                <c:pt idx="4">
                  <c:v>3.8064091114758537E-2</c:v>
                </c:pt>
              </c:numCache>
            </c:numRef>
          </c:val>
          <c:extLst>
            <c:ext xmlns:c16="http://schemas.microsoft.com/office/drawing/2014/chart" uri="{C3380CC4-5D6E-409C-BE32-E72D297353CC}">
              <c16:uniqueId val="{00000004-40EC-4F5C-A928-2A00FB04D997}"/>
            </c:ext>
          </c:extLst>
        </c:ser>
        <c:ser>
          <c:idx val="4"/>
          <c:order val="4"/>
          <c:tx>
            <c:strRef>
              <c:f>'Ratio Analysis '!$B$22</c:f>
              <c:strCache>
                <c:ptCount val="1"/>
                <c:pt idx="0">
                  <c:v>Return on Equity</c:v>
                </c:pt>
              </c:strCache>
            </c:strRef>
          </c:tx>
          <c:spPr>
            <a:solidFill>
              <a:schemeClr val="accent4">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'!$C$22:$G$22</c:f>
              <c:numCache>
                <c:formatCode>0.00%</c:formatCode>
                <c:ptCount val="5"/>
                <c:pt idx="0">
                  <c:v>0.36480436031758684</c:v>
                </c:pt>
                <c:pt idx="1">
                  <c:v>7.8339013271945535E-2</c:v>
                </c:pt>
                <c:pt idx="2">
                  <c:v>-5.3344591276260407E-2</c:v>
                </c:pt>
                <c:pt idx="3">
                  <c:v>3.4811811784253063E-2</c:v>
                </c:pt>
                <c:pt idx="4">
                  <c:v>0.10654859928754358</c:v>
                </c:pt>
              </c:numCache>
            </c:numRef>
          </c:val>
          <c:extLst>
            <c:ext xmlns:c16="http://schemas.microsoft.com/office/drawing/2014/chart" uri="{C3380CC4-5D6E-409C-BE32-E72D297353CC}">
              <c16:uniqueId val="{00000005-40EC-4F5C-A928-2A00FB04D997}"/>
            </c:ext>
          </c:extLst>
        </c:ser>
        <c:ser>
          <c:idx val="5"/>
          <c:order val="5"/>
          <c:tx>
            <c:strRef>
              <c:f>'Ratio Analysis '!$B$23</c:f>
              <c:strCache>
                <c:ptCount val="1"/>
                <c:pt idx="0">
                  <c:v>Return on Capital Employed</c:v>
                </c:pt>
              </c:strCache>
            </c:strRef>
          </c:tx>
          <c:spPr>
            <a:solidFill>
              <a:schemeClr val="accent4">
                <a:tint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'!$C$23:$G$23</c:f>
              <c:numCache>
                <c:formatCode>0.00%</c:formatCode>
                <c:ptCount val="5"/>
                <c:pt idx="0">
                  <c:v>0.29309359641637761</c:v>
                </c:pt>
                <c:pt idx="1">
                  <c:v>0.13051629430805095</c:v>
                </c:pt>
                <c:pt idx="2">
                  <c:v>3.5510301930773203E-2</c:v>
                </c:pt>
                <c:pt idx="3">
                  <c:v>8.4711310406565141E-2</c:v>
                </c:pt>
                <c:pt idx="4">
                  <c:v>0.11891971049193539</c:v>
                </c:pt>
              </c:numCache>
            </c:numRef>
          </c:val>
          <c:extLst>
            <c:ext xmlns:c16="http://schemas.microsoft.com/office/drawing/2014/chart" uri="{C3380CC4-5D6E-409C-BE32-E72D297353CC}">
              <c16:uniqueId val="{00000006-40EC-4F5C-A928-2A00FB04D997}"/>
            </c:ext>
          </c:extLst>
        </c:ser>
        <c:dLbls>
          <c:dLblPos val="outEnd"/>
          <c:showLegendKey val="0"/>
          <c:showVal val="1"/>
          <c:showCatName val="0"/>
          <c:showSerName val="0"/>
          <c:showPercent val="0"/>
          <c:showBubbleSize val="0"/>
        </c:dLbls>
        <c:gapWidth val="150"/>
        <c:axId val="1224478384"/>
        <c:axId val="788192144"/>
      </c:barChart>
      <c:catAx>
        <c:axId val="1224478384"/>
        <c:scaling>
          <c:orientation val="minMax"/>
        </c:scaling>
        <c:delete val="0"/>
        <c:axPos val="b"/>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92144"/>
        <c:crosses val="autoZero"/>
        <c:auto val="1"/>
        <c:lblAlgn val="ctr"/>
        <c:lblOffset val="100"/>
        <c:noMultiLvlLbl val="0"/>
      </c:catAx>
      <c:valAx>
        <c:axId val="788192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78384"/>
        <c:crosses val="autoZero"/>
        <c:crossBetween val="between"/>
      </c:valAx>
      <c:spPr>
        <a:noFill/>
        <a:ln>
          <a:noFill/>
        </a:ln>
        <a:effectLst/>
      </c:spPr>
    </c:plotArea>
    <c:legend>
      <c:legendPos val="b"/>
      <c:layout>
        <c:manualLayout>
          <c:xMode val="edge"/>
          <c:yMode val="edge"/>
          <c:x val="0.12990453323554299"/>
          <c:y val="0.90624320430043626"/>
          <c:w val="0.83653312173527272"/>
          <c:h val="8.38223629556736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23861529262396"/>
          <c:y val="8.0936729935186261E-2"/>
          <c:w val="0.74992020616363064"/>
          <c:h val="0.75029838767170232"/>
        </c:manualLayout>
      </c:layout>
      <c:barChart>
        <c:barDir val="col"/>
        <c:grouping val="clustered"/>
        <c:varyColors val="0"/>
        <c:ser>
          <c:idx val="1"/>
          <c:order val="0"/>
          <c:tx>
            <c:v>inventory</c:v>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'!$C$37:$G$37</c:f>
              <c:numCache>
                <c:formatCode>0.00</c:formatCode>
                <c:ptCount val="5"/>
                <c:pt idx="0">
                  <c:v>3.4982665814218312</c:v>
                </c:pt>
                <c:pt idx="1">
                  <c:v>3.4546657042463886</c:v>
                </c:pt>
                <c:pt idx="2">
                  <c:v>3.5367349200813649</c:v>
                </c:pt>
                <c:pt idx="3">
                  <c:v>3.6633527631951588</c:v>
                </c:pt>
                <c:pt idx="4">
                  <c:v>3.7333917252727482</c:v>
                </c:pt>
              </c:numCache>
            </c:numRef>
          </c:val>
          <c:extLst>
            <c:ext xmlns:c16="http://schemas.microsoft.com/office/drawing/2014/chart" uri="{C3380CC4-5D6E-409C-BE32-E72D297353CC}">
              <c16:uniqueId val="{00000000-D193-4C58-93D5-B66881B3E448}"/>
            </c:ext>
          </c:extLst>
        </c:ser>
        <c:ser>
          <c:idx val="2"/>
          <c:order val="1"/>
          <c:tx>
            <c:v>Debtors</c:v>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'!$C$38:$G$38</c:f>
              <c:numCache>
                <c:formatCode>0.00</c:formatCode>
                <c:ptCount val="5"/>
                <c:pt idx="0">
                  <c:v>22.395680398709832</c:v>
                </c:pt>
                <c:pt idx="1">
                  <c:v>23.737476266444009</c:v>
                </c:pt>
                <c:pt idx="2">
                  <c:v>31.564549262883443</c:v>
                </c:pt>
                <c:pt idx="3">
                  <c:v>37.929587914877224</c:v>
                </c:pt>
                <c:pt idx="4">
                  <c:v>45.620729196861532</c:v>
                </c:pt>
              </c:numCache>
            </c:numRef>
          </c:val>
          <c:extLst>
            <c:ext xmlns:c16="http://schemas.microsoft.com/office/drawing/2014/chart" uri="{C3380CC4-5D6E-409C-BE32-E72D297353CC}">
              <c16:uniqueId val="{00000001-D193-4C58-93D5-B66881B3E448}"/>
            </c:ext>
          </c:extLst>
        </c:ser>
        <c:ser>
          <c:idx val="0"/>
          <c:order val="2"/>
          <c:tx>
            <c:v>Asset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'!$C$39:$G$39</c:f>
              <c:numCache>
                <c:formatCode>0.00</c:formatCode>
                <c:ptCount val="5"/>
                <c:pt idx="0">
                  <c:v>0.86381179602825808</c:v>
                </c:pt>
                <c:pt idx="1">
                  <c:v>0.85268496261577531</c:v>
                </c:pt>
                <c:pt idx="2">
                  <c:v>0.85094768373474949</c:v>
                </c:pt>
                <c:pt idx="3">
                  <c:v>0.79337702967901758</c:v>
                </c:pt>
                <c:pt idx="4">
                  <c:v>0.78289542687642188</c:v>
                </c:pt>
              </c:numCache>
            </c:numRef>
          </c:val>
          <c:extLst>
            <c:ext xmlns:c16="http://schemas.microsoft.com/office/drawing/2014/chart" uri="{C3380CC4-5D6E-409C-BE32-E72D297353CC}">
              <c16:uniqueId val="{00000002-D193-4C58-93D5-B66881B3E448}"/>
            </c:ext>
          </c:extLst>
        </c:ser>
        <c:ser>
          <c:idx val="3"/>
          <c:order val="3"/>
          <c:tx>
            <c:v>Working Capital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'!$C$17:$G$17</c:f>
              <c:strCache>
                <c:ptCount val="5"/>
                <c:pt idx="0">
                  <c:v>FY22</c:v>
                </c:pt>
                <c:pt idx="1">
                  <c:v>FY23</c:v>
                </c:pt>
                <c:pt idx="2">
                  <c:v>FY24</c:v>
                </c:pt>
                <c:pt idx="3">
                  <c:v>FY25</c:v>
                </c:pt>
                <c:pt idx="4">
                  <c:v>FY26</c:v>
                </c:pt>
              </c:strCache>
            </c:strRef>
          </c:cat>
          <c:val>
            <c:numRef>
              <c:f>'Ratio Analysis '!$C$40:$G$40</c:f>
              <c:numCache>
                <c:formatCode>0.00</c:formatCode>
                <c:ptCount val="5"/>
                <c:pt idx="0">
                  <c:v>6.6021005771039265</c:v>
                </c:pt>
                <c:pt idx="1">
                  <c:v>6.992324762095496</c:v>
                </c:pt>
                <c:pt idx="2">
                  <c:v>7.368892235824327</c:v>
                </c:pt>
                <c:pt idx="3">
                  <c:v>7.1587609137584618</c:v>
                </c:pt>
                <c:pt idx="4">
                  <c:v>9.2149594071684096</c:v>
                </c:pt>
              </c:numCache>
            </c:numRef>
          </c:val>
          <c:extLst>
            <c:ext xmlns:c16="http://schemas.microsoft.com/office/drawing/2014/chart" uri="{C3380CC4-5D6E-409C-BE32-E72D297353CC}">
              <c16:uniqueId val="{00000003-D193-4C58-93D5-B66881B3E448}"/>
            </c:ext>
          </c:extLst>
        </c:ser>
        <c:dLbls>
          <c:dLblPos val="outEnd"/>
          <c:showLegendKey val="0"/>
          <c:showVal val="1"/>
          <c:showCatName val="0"/>
          <c:showSerName val="0"/>
          <c:showPercent val="0"/>
          <c:showBubbleSize val="0"/>
        </c:dLbls>
        <c:gapWidth val="150"/>
        <c:axId val="1224478384"/>
        <c:axId val="788192144"/>
      </c:barChart>
      <c:catAx>
        <c:axId val="1224478384"/>
        <c:scaling>
          <c:orientation val="minMax"/>
        </c:scaling>
        <c:delete val="0"/>
        <c:axPos val="b"/>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92144"/>
        <c:crosses val="autoZero"/>
        <c:auto val="1"/>
        <c:lblAlgn val="ctr"/>
        <c:lblOffset val="100"/>
        <c:noMultiLvlLbl val="0"/>
      </c:catAx>
      <c:valAx>
        <c:axId val="788192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78384"/>
        <c:crosses val="autoZero"/>
        <c:crossBetween val="between"/>
      </c:valAx>
      <c:spPr>
        <a:noFill/>
        <a:ln>
          <a:noFill/>
        </a:ln>
        <a:effectLst/>
      </c:spPr>
    </c:plotArea>
    <c:legend>
      <c:legendPos val="r"/>
      <c:layout>
        <c:manualLayout>
          <c:xMode val="edge"/>
          <c:yMode val="edge"/>
          <c:x val="0.22311905693152265"/>
          <c:y val="0.90175013549425787"/>
          <c:w val="0.60552267686032091"/>
          <c:h val="9.38512539290004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8280584304580091"/>
          <c:y val="5.7600938843485459E-2"/>
          <c:w val="0.74992020616363064"/>
          <c:h val="0.75029838767170232"/>
        </c:manualLayout>
      </c:layout>
      <c:barChart>
        <c:barDir val="col"/>
        <c:grouping val="clustered"/>
        <c:varyColors val="0"/>
        <c:ser>
          <c:idx val="0"/>
          <c:order val="0"/>
          <c:tx>
            <c:strRef>
              <c:f>'Ratio Analysis '!$B$52</c:f>
              <c:strCache>
                <c:ptCount val="1"/>
                <c:pt idx="0">
                  <c:v>Debt Equity Ratio </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'!$C$51:$G$51</c:f>
              <c:strCache>
                <c:ptCount val="5"/>
                <c:pt idx="0">
                  <c:v>FY22</c:v>
                </c:pt>
                <c:pt idx="1">
                  <c:v>FY23</c:v>
                </c:pt>
                <c:pt idx="2">
                  <c:v>FY24</c:v>
                </c:pt>
                <c:pt idx="3">
                  <c:v>FY25</c:v>
                </c:pt>
                <c:pt idx="4">
                  <c:v>FY26</c:v>
                </c:pt>
              </c:strCache>
            </c:strRef>
          </c:cat>
          <c:val>
            <c:numRef>
              <c:f>'Ratio Analysis '!$C$52:$G$52</c:f>
              <c:numCache>
                <c:formatCode>0.00</c:formatCode>
                <c:ptCount val="5"/>
                <c:pt idx="0">
                  <c:v>0.6602529083463704</c:v>
                </c:pt>
                <c:pt idx="1">
                  <c:v>0.82354792927191045</c:v>
                </c:pt>
                <c:pt idx="2">
                  <c:v>0.946177007719608</c:v>
                </c:pt>
                <c:pt idx="3">
                  <c:v>1.0398314658071992</c:v>
                </c:pt>
                <c:pt idx="4">
                  <c:v>0.90421654995490242</c:v>
                </c:pt>
              </c:numCache>
            </c:numRef>
          </c:val>
          <c:extLst>
            <c:ext xmlns:c16="http://schemas.microsoft.com/office/drawing/2014/chart" uri="{C3380CC4-5D6E-409C-BE32-E72D297353CC}">
              <c16:uniqueId val="{00000000-3E22-4613-B627-D84346AA4D16}"/>
            </c:ext>
          </c:extLst>
        </c:ser>
        <c:ser>
          <c:idx val="1"/>
          <c:order val="1"/>
          <c:tx>
            <c:strRef>
              <c:f>'Ratio Analysis '!$B$53</c:f>
              <c:strCache>
                <c:ptCount val="1"/>
                <c:pt idx="0">
                  <c:v>Interest Coverage Ratio </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'!$C$51:$G$51</c:f>
              <c:strCache>
                <c:ptCount val="5"/>
                <c:pt idx="0">
                  <c:v>FY22</c:v>
                </c:pt>
                <c:pt idx="1">
                  <c:v>FY23</c:v>
                </c:pt>
                <c:pt idx="2">
                  <c:v>FY24</c:v>
                </c:pt>
                <c:pt idx="3">
                  <c:v>FY25</c:v>
                </c:pt>
                <c:pt idx="4">
                  <c:v>FY26</c:v>
                </c:pt>
              </c:strCache>
            </c:strRef>
          </c:cat>
          <c:val>
            <c:numRef>
              <c:f>'Ratio Analysis '!$C$53:$G$53</c:f>
              <c:numCache>
                <c:formatCode>0.00</c:formatCode>
                <c:ptCount val="5"/>
                <c:pt idx="0">
                  <c:v>10.195355351323643</c:v>
                </c:pt>
                <c:pt idx="1">
                  <c:v>3.895060885579567</c:v>
                </c:pt>
                <c:pt idx="2">
                  <c:v>0.84721554377781394</c:v>
                </c:pt>
                <c:pt idx="3">
                  <c:v>2.1460192481899472</c:v>
                </c:pt>
                <c:pt idx="4">
                  <c:v>3.2280670177171675</c:v>
                </c:pt>
              </c:numCache>
            </c:numRef>
          </c:val>
          <c:extLst>
            <c:ext xmlns:c16="http://schemas.microsoft.com/office/drawing/2014/chart" uri="{C3380CC4-5D6E-409C-BE32-E72D297353CC}">
              <c16:uniqueId val="{00000001-3E22-4613-B627-D84346AA4D16}"/>
            </c:ext>
          </c:extLst>
        </c:ser>
        <c:dLbls>
          <c:dLblPos val="outEnd"/>
          <c:showLegendKey val="0"/>
          <c:showVal val="1"/>
          <c:showCatName val="0"/>
          <c:showSerName val="0"/>
          <c:showPercent val="0"/>
          <c:showBubbleSize val="0"/>
        </c:dLbls>
        <c:gapWidth val="150"/>
        <c:axId val="1224478384"/>
        <c:axId val="788192144"/>
      </c:barChart>
      <c:catAx>
        <c:axId val="1224478384"/>
        <c:scaling>
          <c:orientation val="minMax"/>
        </c:scaling>
        <c:delete val="0"/>
        <c:axPos val="b"/>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192144"/>
        <c:crosses val="autoZero"/>
        <c:auto val="1"/>
        <c:lblAlgn val="ctr"/>
        <c:lblOffset val="100"/>
        <c:noMultiLvlLbl val="0"/>
      </c:catAx>
      <c:valAx>
        <c:axId val="788192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78384"/>
        <c:crosses val="autoZero"/>
        <c:crossBetween val="between"/>
      </c:valAx>
      <c:spPr>
        <a:noFill/>
        <a:ln>
          <a:noFill/>
        </a:ln>
        <a:effectLst/>
      </c:spPr>
    </c:plotArea>
    <c:legend>
      <c:legendPos val="r"/>
      <c:layout>
        <c:manualLayout>
          <c:xMode val="edge"/>
          <c:yMode val="edge"/>
          <c:x val="0.63012854095321236"/>
          <c:y val="0.14314729393432871"/>
          <c:w val="0.29814479839386498"/>
          <c:h val="0.262535624663506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Working Capital/Total Assets</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96EB-4FD5-A44F-DFC1EB5972B9}"/>
              </c:ext>
            </c:extLst>
          </c:dPt>
          <c:dPt>
            <c:idx val="1"/>
            <c:invertIfNegative val="0"/>
            <c:bubble3D val="0"/>
            <c:spPr>
              <a:solidFill>
                <a:srgbClr val="002060"/>
              </a:solidFill>
              <a:ln>
                <a:noFill/>
              </a:ln>
              <a:effectLst/>
            </c:spPr>
            <c:extLst>
              <c:ext xmlns:c16="http://schemas.microsoft.com/office/drawing/2014/chart" uri="{C3380CC4-5D6E-409C-BE32-E72D297353CC}">
                <c16:uniqueId val="{00000003-96EB-4FD5-A44F-DFC1EB5972B9}"/>
              </c:ext>
            </c:extLst>
          </c:dPt>
          <c:dPt>
            <c:idx val="2"/>
            <c:invertIfNegative val="0"/>
            <c:bubble3D val="0"/>
            <c:spPr>
              <a:solidFill>
                <a:srgbClr val="002060"/>
              </a:solidFill>
              <a:ln>
                <a:noFill/>
              </a:ln>
              <a:effectLst/>
            </c:spPr>
            <c:extLst>
              <c:ext xmlns:c16="http://schemas.microsoft.com/office/drawing/2014/chart" uri="{C3380CC4-5D6E-409C-BE32-E72D297353CC}">
                <c16:uniqueId val="{00000005-96EB-4FD5-A44F-DFC1EB5972B9}"/>
              </c:ext>
            </c:extLst>
          </c:dPt>
          <c:dPt>
            <c:idx val="3"/>
            <c:invertIfNegative val="0"/>
            <c:bubble3D val="0"/>
            <c:spPr>
              <a:solidFill>
                <a:srgbClr val="002060"/>
              </a:solidFill>
              <a:ln>
                <a:noFill/>
              </a:ln>
              <a:effectLst/>
            </c:spPr>
            <c:extLst>
              <c:ext xmlns:c16="http://schemas.microsoft.com/office/drawing/2014/chart" uri="{C3380CC4-5D6E-409C-BE32-E72D297353CC}">
                <c16:uniqueId val="{00000007-96EB-4FD5-A44F-DFC1EB5972B9}"/>
              </c:ext>
            </c:extLst>
          </c:dPt>
          <c:dPt>
            <c:idx val="4"/>
            <c:invertIfNegative val="0"/>
            <c:bubble3D val="0"/>
            <c:spPr>
              <a:solidFill>
                <a:srgbClr val="002060"/>
              </a:solidFill>
              <a:ln>
                <a:noFill/>
              </a:ln>
              <a:effectLst/>
            </c:spPr>
            <c:extLst>
              <c:ext xmlns:c16="http://schemas.microsoft.com/office/drawing/2014/chart" uri="{C3380CC4-5D6E-409C-BE32-E72D297353CC}">
                <c16:uniqueId val="{00000009-96EB-4FD5-A44F-DFC1EB5972B9}"/>
              </c:ext>
            </c:extLst>
          </c:dPt>
          <c:dLbls>
            <c:dLbl>
              <c:idx val="3"/>
              <c:layout>
                <c:manualLayout>
                  <c:x val="-1.1473762822699962E-16"/>
                  <c:y val="0.596189317492327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EB-4FD5-A44F-DFC1EB5972B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scroe'!$E$30:$H$30</c:f>
              <c:numCache>
                <c:formatCode>mmm\-yy</c:formatCode>
                <c:ptCount val="4"/>
                <c:pt idx="0">
                  <c:v>44986</c:v>
                </c:pt>
                <c:pt idx="1">
                  <c:v>45352</c:v>
                </c:pt>
                <c:pt idx="2">
                  <c:v>45717</c:v>
                </c:pt>
                <c:pt idx="3">
                  <c:v>46082</c:v>
                </c:pt>
              </c:numCache>
            </c:numRef>
          </c:cat>
          <c:val>
            <c:numRef>
              <c:f>'Altman''s scroe'!$E$33:$H$33</c:f>
              <c:numCache>
                <c:formatCode>0.00%</c:formatCode>
                <c:ptCount val="4"/>
                <c:pt idx="0">
                  <c:v>-1.2985475818878612E-2</c:v>
                </c:pt>
                <c:pt idx="1">
                  <c:v>1.2565332115020911E-2</c:v>
                </c:pt>
                <c:pt idx="2">
                  <c:v>8.0120938690673577E-3</c:v>
                </c:pt>
                <c:pt idx="3">
                  <c:v>1.8353226562656505E-2</c:v>
                </c:pt>
              </c:numCache>
            </c:numRef>
          </c:val>
          <c:extLst>
            <c:ext xmlns:c16="http://schemas.microsoft.com/office/drawing/2014/chart" uri="{C3380CC4-5D6E-409C-BE32-E72D297353CC}">
              <c16:uniqueId val="{0000000A-96EB-4FD5-A44F-DFC1EB5972B9}"/>
            </c:ext>
          </c:extLst>
        </c:ser>
        <c:dLbls>
          <c:showLegendKey val="0"/>
          <c:showVal val="0"/>
          <c:showCatName val="0"/>
          <c:showSerName val="0"/>
          <c:showPercent val="0"/>
          <c:showBubbleSize val="0"/>
        </c:dLbls>
        <c:gapWidth val="219"/>
        <c:overlap val="-27"/>
        <c:axId val="1274827888"/>
        <c:axId val="1319733936"/>
      </c:barChart>
      <c:dateAx>
        <c:axId val="1274827888"/>
        <c:scaling>
          <c:orientation val="minMax"/>
        </c:scaling>
        <c:delete val="0"/>
        <c:axPos val="b"/>
        <c:numFmt formatCode="yyyy" sourceLinked="0"/>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Offset val="100"/>
        <c:baseTimeUnit val="years"/>
      </c:dateAx>
      <c:valAx>
        <c:axId val="1319733936"/>
        <c:scaling>
          <c:orientation val="minMax"/>
        </c:scaling>
        <c:delete val="1"/>
        <c:axPos val="l"/>
        <c:numFmt formatCode="0.00%"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B</c:v>
          </c:tx>
          <c:spPr>
            <a:solidFill>
              <a:srgbClr val="002060"/>
            </a:solidFill>
            <a:ln>
              <a:solidFill>
                <a:srgbClr val="002060"/>
              </a:solidFill>
            </a:ln>
            <a:effectLst/>
          </c:spPr>
          <c:invertIfNegative val="0"/>
          <c:dPt>
            <c:idx val="0"/>
            <c:invertIfNegative val="0"/>
            <c:bubble3D val="0"/>
            <c:spPr>
              <a:solidFill>
                <a:srgbClr val="002060"/>
              </a:solidFill>
              <a:ln>
                <a:solidFill>
                  <a:srgbClr val="002060"/>
                </a:solidFill>
              </a:ln>
              <a:effectLst/>
            </c:spPr>
            <c:extLst>
              <c:ext xmlns:c16="http://schemas.microsoft.com/office/drawing/2014/chart" uri="{C3380CC4-5D6E-409C-BE32-E72D297353CC}">
                <c16:uniqueId val="{00000001-EB69-4FCE-A68C-F1135892F083}"/>
              </c:ext>
            </c:extLst>
          </c:dPt>
          <c:dPt>
            <c:idx val="1"/>
            <c:invertIfNegative val="0"/>
            <c:bubble3D val="0"/>
            <c:spPr>
              <a:solidFill>
                <a:srgbClr val="002060"/>
              </a:solidFill>
              <a:ln>
                <a:solidFill>
                  <a:srgbClr val="002060"/>
                </a:solidFill>
              </a:ln>
              <a:effectLst/>
            </c:spPr>
            <c:extLst>
              <c:ext xmlns:c16="http://schemas.microsoft.com/office/drawing/2014/chart" uri="{C3380CC4-5D6E-409C-BE32-E72D297353CC}">
                <c16:uniqueId val="{00000003-EB69-4FCE-A68C-F1135892F083}"/>
              </c:ext>
            </c:extLst>
          </c:dPt>
          <c:dPt>
            <c:idx val="2"/>
            <c:invertIfNegative val="0"/>
            <c:bubble3D val="0"/>
            <c:spPr>
              <a:solidFill>
                <a:srgbClr val="002060"/>
              </a:solidFill>
              <a:ln>
                <a:solidFill>
                  <a:srgbClr val="002060"/>
                </a:solidFill>
              </a:ln>
              <a:effectLst/>
            </c:spPr>
            <c:extLst>
              <c:ext xmlns:c16="http://schemas.microsoft.com/office/drawing/2014/chart" uri="{C3380CC4-5D6E-409C-BE32-E72D297353CC}">
                <c16:uniqueId val="{00000005-EB69-4FCE-A68C-F1135892F083}"/>
              </c:ext>
            </c:extLst>
          </c:dPt>
          <c:dPt>
            <c:idx val="3"/>
            <c:invertIfNegative val="0"/>
            <c:bubble3D val="0"/>
            <c:spPr>
              <a:solidFill>
                <a:srgbClr val="002060"/>
              </a:solidFill>
              <a:ln>
                <a:solidFill>
                  <a:srgbClr val="002060"/>
                </a:solidFill>
              </a:ln>
              <a:effectLst/>
            </c:spPr>
            <c:extLst>
              <c:ext xmlns:c16="http://schemas.microsoft.com/office/drawing/2014/chart" uri="{C3380CC4-5D6E-409C-BE32-E72D297353CC}">
                <c16:uniqueId val="{00000007-EB69-4FCE-A68C-F1135892F083}"/>
              </c:ext>
            </c:extLst>
          </c:dPt>
          <c:dPt>
            <c:idx val="4"/>
            <c:invertIfNegative val="0"/>
            <c:bubble3D val="0"/>
            <c:spPr>
              <a:solidFill>
                <a:srgbClr val="002060"/>
              </a:solidFill>
              <a:ln>
                <a:solidFill>
                  <a:srgbClr val="002060"/>
                </a:solidFill>
              </a:ln>
              <a:effectLst/>
            </c:spPr>
            <c:extLst>
              <c:ext xmlns:c16="http://schemas.microsoft.com/office/drawing/2014/chart" uri="{C3380CC4-5D6E-409C-BE32-E72D297353CC}">
                <c16:uniqueId val="{00000009-EB69-4FCE-A68C-F1135892F08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scroe'!$E$36:$H$36</c:f>
              <c:numCache>
                <c:formatCode>mmm\-yy</c:formatCode>
                <c:ptCount val="4"/>
                <c:pt idx="0">
                  <c:v>44986</c:v>
                </c:pt>
                <c:pt idx="1">
                  <c:v>45352</c:v>
                </c:pt>
                <c:pt idx="2">
                  <c:v>45717</c:v>
                </c:pt>
                <c:pt idx="3">
                  <c:v>46082</c:v>
                </c:pt>
              </c:numCache>
            </c:numRef>
          </c:cat>
          <c:val>
            <c:numRef>
              <c:f>'Altman''s scroe'!$E$39:$H$39</c:f>
              <c:numCache>
                <c:formatCode>0.00%</c:formatCode>
                <c:ptCount val="4"/>
                <c:pt idx="0">
                  <c:v>0.3569108835456502</c:v>
                </c:pt>
                <c:pt idx="1">
                  <c:v>0.3371115227437339</c:v>
                </c:pt>
                <c:pt idx="2">
                  <c:v>0.32644541331767563</c:v>
                </c:pt>
                <c:pt idx="3">
                  <c:v>0.3403549207792857</c:v>
                </c:pt>
              </c:numCache>
            </c:numRef>
          </c:val>
          <c:extLst>
            <c:ext xmlns:c16="http://schemas.microsoft.com/office/drawing/2014/chart" uri="{C3380CC4-5D6E-409C-BE32-E72D297353CC}">
              <c16:uniqueId val="{0000000A-EB69-4FCE-A68C-F1135892F083}"/>
            </c:ext>
          </c:extLst>
        </c:ser>
        <c:dLbls>
          <c:dLblPos val="outEnd"/>
          <c:showLegendKey val="0"/>
          <c:showVal val="1"/>
          <c:showCatName val="0"/>
          <c:showSerName val="0"/>
          <c:showPercent val="0"/>
          <c:showBubbleSize val="0"/>
        </c:dLbls>
        <c:gapWidth val="219"/>
        <c:overlap val="-27"/>
        <c:axId val="1274827888"/>
        <c:axId val="1319733936"/>
      </c:barChart>
      <c:date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Offset val="100"/>
        <c:baseTimeUnit val="years"/>
      </c:dateAx>
      <c:valAx>
        <c:axId val="1319733936"/>
        <c:scaling>
          <c:orientation val="minMax"/>
        </c:scaling>
        <c:delete val="1"/>
        <c:axPos val="l"/>
        <c:numFmt formatCode="0.00%"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BA1B-4F9D-9683-F038A0BAEA51}"/>
              </c:ext>
            </c:extLst>
          </c:dPt>
          <c:dPt>
            <c:idx val="1"/>
            <c:invertIfNegative val="0"/>
            <c:bubble3D val="0"/>
            <c:spPr>
              <a:solidFill>
                <a:srgbClr val="002060"/>
              </a:solidFill>
              <a:ln>
                <a:noFill/>
              </a:ln>
              <a:effectLst/>
            </c:spPr>
            <c:extLst>
              <c:ext xmlns:c16="http://schemas.microsoft.com/office/drawing/2014/chart" uri="{C3380CC4-5D6E-409C-BE32-E72D297353CC}">
                <c16:uniqueId val="{00000003-BA1B-4F9D-9683-F038A0BAEA51}"/>
              </c:ext>
            </c:extLst>
          </c:dPt>
          <c:dPt>
            <c:idx val="2"/>
            <c:invertIfNegative val="0"/>
            <c:bubble3D val="0"/>
            <c:spPr>
              <a:solidFill>
                <a:srgbClr val="002060"/>
              </a:solidFill>
              <a:ln>
                <a:noFill/>
              </a:ln>
              <a:effectLst/>
            </c:spPr>
            <c:extLst>
              <c:ext xmlns:c16="http://schemas.microsoft.com/office/drawing/2014/chart" uri="{C3380CC4-5D6E-409C-BE32-E72D297353CC}">
                <c16:uniqueId val="{00000005-BA1B-4F9D-9683-F038A0BAEA51}"/>
              </c:ext>
            </c:extLst>
          </c:dPt>
          <c:dPt>
            <c:idx val="3"/>
            <c:invertIfNegative val="0"/>
            <c:bubble3D val="0"/>
            <c:spPr>
              <a:solidFill>
                <a:srgbClr val="002060"/>
              </a:solidFill>
              <a:ln>
                <a:noFill/>
              </a:ln>
              <a:effectLst/>
            </c:spPr>
            <c:extLst>
              <c:ext xmlns:c16="http://schemas.microsoft.com/office/drawing/2014/chart" uri="{C3380CC4-5D6E-409C-BE32-E72D297353CC}">
                <c16:uniqueId val="{00000007-BA1B-4F9D-9683-F038A0BAEA51}"/>
              </c:ext>
            </c:extLst>
          </c:dPt>
          <c:dPt>
            <c:idx val="4"/>
            <c:invertIfNegative val="0"/>
            <c:bubble3D val="0"/>
            <c:spPr>
              <a:solidFill>
                <a:srgbClr val="002060"/>
              </a:solidFill>
              <a:ln>
                <a:noFill/>
              </a:ln>
              <a:effectLst/>
            </c:spPr>
            <c:extLst>
              <c:ext xmlns:c16="http://schemas.microsoft.com/office/drawing/2014/chart" uri="{C3380CC4-5D6E-409C-BE32-E72D297353CC}">
                <c16:uniqueId val="{00000009-BA1B-4F9D-9683-F038A0BAEA51}"/>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scroe'!$E$42:$H$42</c:f>
              <c:numCache>
                <c:formatCode>mmm\-yy</c:formatCode>
                <c:ptCount val="4"/>
                <c:pt idx="0">
                  <c:v>44986</c:v>
                </c:pt>
                <c:pt idx="1">
                  <c:v>45352</c:v>
                </c:pt>
                <c:pt idx="2">
                  <c:v>45717</c:v>
                </c:pt>
                <c:pt idx="3">
                  <c:v>46082</c:v>
                </c:pt>
              </c:numCache>
            </c:numRef>
          </c:cat>
          <c:val>
            <c:numRef>
              <c:f>'Altman''s scroe'!$E$45:$H$45</c:f>
              <c:numCache>
                <c:formatCode>0.00%</c:formatCode>
                <c:ptCount val="4"/>
                <c:pt idx="0">
                  <c:v>7.5160186320904918E-2</c:v>
                </c:pt>
                <c:pt idx="1">
                  <c:v>0.20678240535657438</c:v>
                </c:pt>
                <c:pt idx="2">
                  <c:v>8.9065368738922637E-2</c:v>
                </c:pt>
                <c:pt idx="3">
                  <c:v>2.1450982754239917E-2</c:v>
                </c:pt>
              </c:numCache>
            </c:numRef>
          </c:val>
          <c:extLst>
            <c:ext xmlns:c16="http://schemas.microsoft.com/office/drawing/2014/chart" uri="{C3380CC4-5D6E-409C-BE32-E72D297353CC}">
              <c16:uniqueId val="{0000000A-BA1B-4F9D-9683-F038A0BAEA51}"/>
            </c:ext>
          </c:extLst>
        </c:ser>
        <c:dLbls>
          <c:dLblPos val="outEnd"/>
          <c:showLegendKey val="0"/>
          <c:showVal val="1"/>
          <c:showCatName val="0"/>
          <c:showSerName val="0"/>
          <c:showPercent val="0"/>
          <c:showBubbleSize val="0"/>
        </c:dLbls>
        <c:gapWidth val="219"/>
        <c:overlap val="-27"/>
        <c:axId val="1274827888"/>
        <c:axId val="1319733936"/>
      </c:barChart>
      <c:dateAx>
        <c:axId val="127482788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Offset val="100"/>
        <c:baseTimeUnit val="years"/>
      </c:dateAx>
      <c:valAx>
        <c:axId val="1319733936"/>
        <c:scaling>
          <c:orientation val="minMax"/>
        </c:scaling>
        <c:delete val="1"/>
        <c:axPos val="l"/>
        <c:numFmt formatCode="0.00%" sourceLinked="1"/>
        <c:majorTickMark val="out"/>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d</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7FD8-441A-86CF-3CB1BACA9C8B}"/>
              </c:ext>
            </c:extLst>
          </c:dPt>
          <c:dPt>
            <c:idx val="1"/>
            <c:invertIfNegative val="0"/>
            <c:bubble3D val="0"/>
            <c:spPr>
              <a:solidFill>
                <a:srgbClr val="002060"/>
              </a:solidFill>
              <a:ln>
                <a:noFill/>
              </a:ln>
              <a:effectLst/>
            </c:spPr>
            <c:extLst>
              <c:ext xmlns:c16="http://schemas.microsoft.com/office/drawing/2014/chart" uri="{C3380CC4-5D6E-409C-BE32-E72D297353CC}">
                <c16:uniqueId val="{00000003-7FD8-441A-86CF-3CB1BACA9C8B}"/>
              </c:ext>
            </c:extLst>
          </c:dPt>
          <c:dPt>
            <c:idx val="2"/>
            <c:invertIfNegative val="0"/>
            <c:bubble3D val="0"/>
            <c:spPr>
              <a:solidFill>
                <a:srgbClr val="002060"/>
              </a:solidFill>
              <a:ln>
                <a:noFill/>
              </a:ln>
              <a:effectLst/>
            </c:spPr>
            <c:extLst>
              <c:ext xmlns:c16="http://schemas.microsoft.com/office/drawing/2014/chart" uri="{C3380CC4-5D6E-409C-BE32-E72D297353CC}">
                <c16:uniqueId val="{00000005-7FD8-441A-86CF-3CB1BACA9C8B}"/>
              </c:ext>
            </c:extLst>
          </c:dPt>
          <c:dPt>
            <c:idx val="4"/>
            <c:invertIfNegative val="0"/>
            <c:bubble3D val="0"/>
            <c:spPr>
              <a:solidFill>
                <a:srgbClr val="002060"/>
              </a:solidFill>
              <a:ln>
                <a:noFill/>
              </a:ln>
              <a:effectLst/>
            </c:spPr>
            <c:extLst>
              <c:ext xmlns:c16="http://schemas.microsoft.com/office/drawing/2014/chart" uri="{C3380CC4-5D6E-409C-BE32-E72D297353CC}">
                <c16:uniqueId val="{00000007-7FD8-441A-86CF-3CB1BACA9C8B}"/>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scroe'!$E$30:$H$30</c:f>
              <c:numCache>
                <c:formatCode>mmm\-yy</c:formatCode>
                <c:ptCount val="4"/>
                <c:pt idx="0">
                  <c:v>44986</c:v>
                </c:pt>
                <c:pt idx="1">
                  <c:v>45352</c:v>
                </c:pt>
                <c:pt idx="2">
                  <c:v>45717</c:v>
                </c:pt>
                <c:pt idx="3">
                  <c:v>46082</c:v>
                </c:pt>
              </c:numCache>
            </c:numRef>
          </c:cat>
          <c:val>
            <c:numRef>
              <c:f>'Altman''s scroe'!$E$51:$H$51</c:f>
              <c:numCache>
                <c:formatCode>0.00%</c:formatCode>
                <c:ptCount val="4"/>
                <c:pt idx="0">
                  <c:v>3.3666368619523386</c:v>
                </c:pt>
                <c:pt idx="1">
                  <c:v>3.373596758244954</c:v>
                </c:pt>
                <c:pt idx="2">
                  <c:v>3.0735791807678843</c:v>
                </c:pt>
                <c:pt idx="3">
                  <c:v>3.667879662452552</c:v>
                </c:pt>
              </c:numCache>
            </c:numRef>
          </c:val>
          <c:extLst>
            <c:ext xmlns:c16="http://schemas.microsoft.com/office/drawing/2014/chart" uri="{C3380CC4-5D6E-409C-BE32-E72D297353CC}">
              <c16:uniqueId val="{00000008-7FD8-441A-86CF-3CB1BACA9C8B}"/>
            </c:ext>
          </c:extLst>
        </c:ser>
        <c:dLbls>
          <c:showLegendKey val="0"/>
          <c:showVal val="0"/>
          <c:showCatName val="0"/>
          <c:showSerName val="0"/>
          <c:showPercent val="0"/>
          <c:showBubbleSize val="0"/>
        </c:dLbls>
        <c:gapWidth val="219"/>
        <c:overlap val="-27"/>
        <c:axId val="1274827888"/>
        <c:axId val="1319733936"/>
      </c:barChart>
      <c:date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Offset val="100"/>
        <c:baseTimeUnit val="years"/>
      </c:dateAx>
      <c:valAx>
        <c:axId val="1319733936"/>
        <c:scaling>
          <c:orientation val="minMax"/>
        </c:scaling>
        <c:delete val="1"/>
        <c:axPos val="l"/>
        <c:numFmt formatCode="0.00%"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e</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A99A-49BA-83C2-E2B3C5501AC0}"/>
              </c:ext>
            </c:extLst>
          </c:dPt>
          <c:dPt>
            <c:idx val="1"/>
            <c:invertIfNegative val="0"/>
            <c:bubble3D val="0"/>
            <c:spPr>
              <a:solidFill>
                <a:srgbClr val="002060"/>
              </a:solidFill>
              <a:ln>
                <a:noFill/>
              </a:ln>
              <a:effectLst/>
            </c:spPr>
            <c:extLst>
              <c:ext xmlns:c16="http://schemas.microsoft.com/office/drawing/2014/chart" uri="{C3380CC4-5D6E-409C-BE32-E72D297353CC}">
                <c16:uniqueId val="{00000003-A99A-49BA-83C2-E2B3C5501AC0}"/>
              </c:ext>
            </c:extLst>
          </c:dPt>
          <c:dPt>
            <c:idx val="2"/>
            <c:invertIfNegative val="0"/>
            <c:bubble3D val="0"/>
            <c:spPr>
              <a:solidFill>
                <a:srgbClr val="002060"/>
              </a:solidFill>
              <a:ln>
                <a:noFill/>
              </a:ln>
              <a:effectLst/>
            </c:spPr>
            <c:extLst>
              <c:ext xmlns:c16="http://schemas.microsoft.com/office/drawing/2014/chart" uri="{C3380CC4-5D6E-409C-BE32-E72D297353CC}">
                <c16:uniqueId val="{00000005-A99A-49BA-83C2-E2B3C5501AC0}"/>
              </c:ext>
            </c:extLst>
          </c:dPt>
          <c:dPt>
            <c:idx val="3"/>
            <c:invertIfNegative val="0"/>
            <c:bubble3D val="0"/>
            <c:spPr>
              <a:solidFill>
                <a:srgbClr val="002060"/>
              </a:solidFill>
              <a:ln>
                <a:noFill/>
              </a:ln>
              <a:effectLst/>
            </c:spPr>
            <c:extLst>
              <c:ext xmlns:c16="http://schemas.microsoft.com/office/drawing/2014/chart" uri="{C3380CC4-5D6E-409C-BE32-E72D297353CC}">
                <c16:uniqueId val="{00000007-A99A-49BA-83C2-E2B3C5501AC0}"/>
              </c:ext>
            </c:extLst>
          </c:dPt>
          <c:dPt>
            <c:idx val="4"/>
            <c:invertIfNegative val="0"/>
            <c:bubble3D val="0"/>
            <c:spPr>
              <a:solidFill>
                <a:srgbClr val="002060"/>
              </a:solidFill>
              <a:ln>
                <a:noFill/>
              </a:ln>
              <a:effectLst/>
            </c:spPr>
            <c:extLst>
              <c:ext xmlns:c16="http://schemas.microsoft.com/office/drawing/2014/chart" uri="{C3380CC4-5D6E-409C-BE32-E72D297353CC}">
                <c16:uniqueId val="{00000009-A99A-49BA-83C2-E2B3C5501AC0}"/>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scroe'!$E$30:$H$30</c:f>
              <c:numCache>
                <c:formatCode>mmm\-yy</c:formatCode>
                <c:ptCount val="4"/>
                <c:pt idx="0">
                  <c:v>44986</c:v>
                </c:pt>
                <c:pt idx="1">
                  <c:v>45352</c:v>
                </c:pt>
                <c:pt idx="2">
                  <c:v>45717</c:v>
                </c:pt>
                <c:pt idx="3">
                  <c:v>46082</c:v>
                </c:pt>
              </c:numCache>
            </c:numRef>
          </c:cat>
          <c:val>
            <c:numRef>
              <c:f>'Altman''s scroe'!$E$57:$H$57</c:f>
              <c:numCache>
                <c:formatCode>0.00%</c:formatCode>
                <c:ptCount val="4"/>
                <c:pt idx="0">
                  <c:v>0.85268496261577531</c:v>
                </c:pt>
                <c:pt idx="1">
                  <c:v>0.85094768373474949</c:v>
                </c:pt>
                <c:pt idx="2">
                  <c:v>0.79337702967901758</c:v>
                </c:pt>
                <c:pt idx="3">
                  <c:v>0.78289542687642188</c:v>
                </c:pt>
              </c:numCache>
            </c:numRef>
          </c:val>
          <c:extLst>
            <c:ext xmlns:c16="http://schemas.microsoft.com/office/drawing/2014/chart" uri="{C3380CC4-5D6E-409C-BE32-E72D297353CC}">
              <c16:uniqueId val="{0000000A-A99A-49BA-83C2-E2B3C5501AC0}"/>
            </c:ext>
          </c:extLst>
        </c:ser>
        <c:dLbls>
          <c:dLblPos val="outEnd"/>
          <c:showLegendKey val="0"/>
          <c:showVal val="1"/>
          <c:showCatName val="0"/>
          <c:showSerName val="0"/>
          <c:showPercent val="0"/>
          <c:showBubbleSize val="0"/>
        </c:dLbls>
        <c:gapWidth val="219"/>
        <c:overlap val="-27"/>
        <c:axId val="1274827888"/>
        <c:axId val="1319733936"/>
      </c:barChart>
      <c:date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Offset val="100"/>
        <c:baseTimeUnit val="years"/>
      </c:dateAx>
      <c:valAx>
        <c:axId val="1319733936"/>
        <c:scaling>
          <c:orientation val="minMax"/>
        </c:scaling>
        <c:delete val="1"/>
        <c:axPos val="l"/>
        <c:numFmt formatCode="0.00%"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Revenue</c:v>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8587-49B9-8E42-C4BB70BEF9E0}"/>
              </c:ext>
            </c:extLst>
          </c:dPt>
          <c:dPt>
            <c:idx val="1"/>
            <c:invertIfNegative val="0"/>
            <c:bubble3D val="0"/>
            <c:extLst>
              <c:ext xmlns:c16="http://schemas.microsoft.com/office/drawing/2014/chart" uri="{C3380CC4-5D6E-409C-BE32-E72D297353CC}">
                <c16:uniqueId val="{00000003-8587-49B9-8E42-C4BB70BEF9E0}"/>
              </c:ext>
            </c:extLst>
          </c:dPt>
          <c:dPt>
            <c:idx val="2"/>
            <c:invertIfNegative val="0"/>
            <c:bubble3D val="0"/>
            <c:extLst>
              <c:ext xmlns:c16="http://schemas.microsoft.com/office/drawing/2014/chart" uri="{C3380CC4-5D6E-409C-BE32-E72D297353CC}">
                <c16:uniqueId val="{00000005-8587-49B9-8E42-C4BB70BEF9E0}"/>
              </c:ext>
            </c:extLst>
          </c:dPt>
          <c:dPt>
            <c:idx val="4"/>
            <c:invertIfNegative val="0"/>
            <c:bubble3D val="0"/>
            <c:extLst>
              <c:ext xmlns:c16="http://schemas.microsoft.com/office/drawing/2014/chart" uri="{C3380CC4-5D6E-409C-BE32-E72D297353CC}">
                <c16:uniqueId val="{00000007-8587-49B9-8E42-C4BB70BEF9E0}"/>
              </c:ext>
            </c:extLst>
          </c:dPt>
          <c:dLbls>
            <c:numFmt formatCode="#,##0" sourceLinked="0"/>
            <c:spPr>
              <a:noFill/>
              <a:ln>
                <a:noFill/>
              </a:ln>
              <a:effectLst/>
            </c:spPr>
            <c:txPr>
              <a:bodyPr rot="0" spcFirstLastPara="1" vertOverflow="ellipsis" vert="horz" wrap="none" lIns="0" tIns="0" rIns="0" bIns="108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'[1]Dupont Analysis '!$F$41:$J$41</c:f>
              <c:numCache>
                <c:formatCode>General</c:formatCode>
                <c:ptCount val="5"/>
                <c:pt idx="0">
                  <c:v>44621</c:v>
                </c:pt>
                <c:pt idx="1">
                  <c:v>44986</c:v>
                </c:pt>
                <c:pt idx="2">
                  <c:v>45352</c:v>
                </c:pt>
                <c:pt idx="3">
                  <c:v>45717</c:v>
                </c:pt>
                <c:pt idx="4">
                  <c:v>46082</c:v>
                </c:pt>
              </c:numCache>
            </c:numRef>
          </c:cat>
          <c:val>
            <c:numRef>
              <c:f>'Dupont Analysis'!$E$43:$H$43</c:f>
              <c:numCache>
                <c:formatCode>_(* #,##0.00_);_(* \(#,##0.00\);_(* "-"??_);_(@_)</c:formatCode>
                <c:ptCount val="4"/>
                <c:pt idx="0">
                  <c:v>243352.69</c:v>
                </c:pt>
                <c:pt idx="1">
                  <c:v>229170.78</c:v>
                </c:pt>
                <c:pt idx="2">
                  <c:v>218542.51</c:v>
                </c:pt>
                <c:pt idx="3">
                  <c:v>232139.94</c:v>
                </c:pt>
              </c:numCache>
            </c:numRef>
          </c:val>
          <c:extLst>
            <c:ext xmlns:c16="http://schemas.microsoft.com/office/drawing/2014/chart" uri="{C3380CC4-5D6E-409C-BE32-E72D297353CC}">
              <c16:uniqueId val="{00000008-8587-49B9-8E42-C4BB70BEF9E0}"/>
            </c:ext>
          </c:extLst>
        </c:ser>
        <c:dLbls>
          <c:showLegendKey val="0"/>
          <c:showVal val="0"/>
          <c:showCatName val="0"/>
          <c:showSerName val="0"/>
          <c:showPercent val="0"/>
          <c:showBubbleSize val="0"/>
        </c:dLbls>
        <c:gapWidth val="219"/>
        <c:overlap val="-27"/>
        <c:axId val="1274827888"/>
        <c:axId val="1319733936"/>
      </c:barChart>
      <c:cat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Algn val="ctr"/>
        <c:lblOffset val="100"/>
        <c:noMultiLvlLbl val="1"/>
      </c:catAx>
      <c:valAx>
        <c:axId val="1319733936"/>
        <c:scaling>
          <c:orientation val="minMax"/>
        </c:scaling>
        <c:delete val="1"/>
        <c:axPos val="l"/>
        <c:numFmt formatCode="_(* #,##0.00_);_(* \(#,##0.00\);_(* &quot;-&quot;??_);_(@_)"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Net Profit </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4C78-475B-845D-A643640A13D4}"/>
              </c:ext>
            </c:extLst>
          </c:dPt>
          <c:dPt>
            <c:idx val="1"/>
            <c:invertIfNegative val="0"/>
            <c:bubble3D val="0"/>
            <c:spPr>
              <a:solidFill>
                <a:srgbClr val="002060"/>
              </a:solidFill>
              <a:ln>
                <a:noFill/>
              </a:ln>
              <a:effectLst/>
            </c:spPr>
            <c:extLst>
              <c:ext xmlns:c16="http://schemas.microsoft.com/office/drawing/2014/chart" uri="{C3380CC4-5D6E-409C-BE32-E72D297353CC}">
                <c16:uniqueId val="{00000003-4C78-475B-845D-A643640A13D4}"/>
              </c:ext>
            </c:extLst>
          </c:dPt>
          <c:dPt>
            <c:idx val="2"/>
            <c:invertIfNegative val="0"/>
            <c:bubble3D val="0"/>
            <c:spPr>
              <a:solidFill>
                <a:srgbClr val="002060"/>
              </a:solidFill>
              <a:ln>
                <a:noFill/>
              </a:ln>
              <a:effectLst/>
            </c:spPr>
            <c:extLst>
              <c:ext xmlns:c16="http://schemas.microsoft.com/office/drawing/2014/chart" uri="{C3380CC4-5D6E-409C-BE32-E72D297353CC}">
                <c16:uniqueId val="{00000005-4C78-475B-845D-A643640A13D4}"/>
              </c:ext>
            </c:extLst>
          </c:dPt>
          <c:dPt>
            <c:idx val="3"/>
            <c:invertIfNegative val="0"/>
            <c:bubble3D val="0"/>
            <c:spPr>
              <a:solidFill>
                <a:srgbClr val="002060"/>
              </a:solidFill>
              <a:ln>
                <a:noFill/>
              </a:ln>
              <a:effectLst/>
            </c:spPr>
            <c:extLst>
              <c:ext xmlns:c16="http://schemas.microsoft.com/office/drawing/2014/chart" uri="{C3380CC4-5D6E-409C-BE32-E72D297353CC}">
                <c16:uniqueId val="{00000007-4C78-475B-845D-A643640A13D4}"/>
              </c:ext>
            </c:extLst>
          </c:dPt>
          <c:dPt>
            <c:idx val="4"/>
            <c:invertIfNegative val="0"/>
            <c:bubble3D val="0"/>
            <c:extLst>
              <c:ext xmlns:c16="http://schemas.microsoft.com/office/drawing/2014/chart" uri="{C3380CC4-5D6E-409C-BE32-E72D297353CC}">
                <c16:uniqueId val="{00000009-4C78-475B-845D-A643640A13D4}"/>
              </c:ext>
            </c:extLst>
          </c:dPt>
          <c:dLbls>
            <c:dLbl>
              <c:idx val="2"/>
              <c:layout>
                <c:manualLayout>
                  <c:x val="-5.9066195997451313E-3"/>
                  <c:y val="-1.10623689940780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78-475B-845D-A643640A13D4}"/>
                </c:ext>
              </c:extLst>
            </c:dLbl>
            <c:numFmt formatCode="#,##0" sourceLinked="0"/>
            <c:spPr>
              <a:noFill/>
              <a:ln>
                <a:noFill/>
              </a:ln>
              <a:effectLst/>
            </c:spPr>
            <c:txPr>
              <a:bodyPr rot="0" spcFirstLastPara="1" vertOverflow="ellipsis" vert="horz" wrap="squar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'Dupont Analysis'!$E$41:$H$41</c:f>
              <c:numCache>
                <c:formatCode>mmm\-yy</c:formatCode>
                <c:ptCount val="4"/>
                <c:pt idx="0">
                  <c:v>44986</c:v>
                </c:pt>
                <c:pt idx="1">
                  <c:v>45352</c:v>
                </c:pt>
                <c:pt idx="2">
                  <c:v>45717</c:v>
                </c:pt>
                <c:pt idx="3">
                  <c:v>46082</c:v>
                </c:pt>
              </c:numCache>
            </c:numRef>
          </c:cat>
          <c:val>
            <c:numRef>
              <c:f>'Dupont Analysis'!$E$42:$H$42</c:f>
              <c:numCache>
                <c:formatCode>_(* #,##0.00_);_(* \(#,##0.00\);_(* "-"??_);_(@_)</c:formatCode>
                <c:ptCount val="4"/>
                <c:pt idx="0">
                  <c:v>8075.3500000000167</c:v>
                </c:pt>
                <c:pt idx="1">
                  <c:v>-4909.6099999999969</c:v>
                </c:pt>
                <c:pt idx="2">
                  <c:v>3173.7799999999916</c:v>
                </c:pt>
                <c:pt idx="3">
                  <c:v>10885.820000000003</c:v>
                </c:pt>
              </c:numCache>
            </c:numRef>
          </c:val>
          <c:extLst>
            <c:ext xmlns:c16="http://schemas.microsoft.com/office/drawing/2014/chart" uri="{C3380CC4-5D6E-409C-BE32-E72D297353CC}">
              <c16:uniqueId val="{0000000A-4C78-475B-845D-A643640A13D4}"/>
            </c:ext>
          </c:extLst>
        </c:ser>
        <c:dLbls>
          <c:dLblPos val="outEnd"/>
          <c:showLegendKey val="0"/>
          <c:showVal val="1"/>
          <c:showCatName val="0"/>
          <c:showSerName val="0"/>
          <c:showPercent val="0"/>
          <c:showBubbleSize val="0"/>
        </c:dLbls>
        <c:gapWidth val="219"/>
        <c:overlap val="-27"/>
        <c:axId val="1274827888"/>
        <c:axId val="1319733936"/>
      </c:barChart>
      <c:date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Offset val="100"/>
        <c:baseTimeUnit val="years"/>
      </c:dateAx>
      <c:valAx>
        <c:axId val="1319733936"/>
        <c:scaling>
          <c:orientation val="minMax"/>
        </c:scaling>
        <c:delete val="1"/>
        <c:axPos val="l"/>
        <c:numFmt formatCode="_(* #,##0.00_);_(* \(#,##0.00\);_(* &quot;-&quot;??_);_(@_)"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Total Assets </c:v>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8AFA-487D-888F-0B2C2D473381}"/>
              </c:ext>
            </c:extLst>
          </c:dPt>
          <c:dPt>
            <c:idx val="1"/>
            <c:invertIfNegative val="0"/>
            <c:bubble3D val="0"/>
            <c:extLst>
              <c:ext xmlns:c16="http://schemas.microsoft.com/office/drawing/2014/chart" uri="{C3380CC4-5D6E-409C-BE32-E72D297353CC}">
                <c16:uniqueId val="{00000003-8AFA-487D-888F-0B2C2D473381}"/>
              </c:ext>
            </c:extLst>
          </c:dPt>
          <c:dPt>
            <c:idx val="2"/>
            <c:invertIfNegative val="0"/>
            <c:bubble3D val="0"/>
            <c:extLst>
              <c:ext xmlns:c16="http://schemas.microsoft.com/office/drawing/2014/chart" uri="{C3380CC4-5D6E-409C-BE32-E72D297353CC}">
                <c16:uniqueId val="{00000005-8AFA-487D-888F-0B2C2D473381}"/>
              </c:ext>
            </c:extLst>
          </c:dPt>
          <c:dPt>
            <c:idx val="3"/>
            <c:invertIfNegative val="0"/>
            <c:bubble3D val="0"/>
            <c:extLst>
              <c:ext xmlns:c16="http://schemas.microsoft.com/office/drawing/2014/chart" uri="{C3380CC4-5D6E-409C-BE32-E72D297353CC}">
                <c16:uniqueId val="{00000007-8AFA-487D-888F-0B2C2D473381}"/>
              </c:ext>
            </c:extLst>
          </c:dPt>
          <c:dPt>
            <c:idx val="4"/>
            <c:invertIfNegative val="0"/>
            <c:bubble3D val="0"/>
            <c:extLst>
              <c:ext xmlns:c16="http://schemas.microsoft.com/office/drawing/2014/chart" uri="{C3380CC4-5D6E-409C-BE32-E72D297353CC}">
                <c16:uniqueId val="{00000009-8AFA-487D-888F-0B2C2D473381}"/>
              </c:ext>
            </c:extLst>
          </c:dPt>
          <c:dLbls>
            <c:numFmt formatCode="#,##0" sourceLinked="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'[1]Dupont Analysis '!$F$41:$J$41</c:f>
              <c:numCache>
                <c:formatCode>General</c:formatCode>
                <c:ptCount val="5"/>
                <c:pt idx="0">
                  <c:v>44621</c:v>
                </c:pt>
                <c:pt idx="1">
                  <c:v>44986</c:v>
                </c:pt>
                <c:pt idx="2">
                  <c:v>45352</c:v>
                </c:pt>
                <c:pt idx="3">
                  <c:v>45717</c:v>
                </c:pt>
                <c:pt idx="4">
                  <c:v>46082</c:v>
                </c:pt>
              </c:numCache>
            </c:numRef>
          </c:cat>
          <c:val>
            <c:numRef>
              <c:f>'Dupont Analysis'!$E$48:$H$48</c:f>
              <c:numCache>
                <c:formatCode>_(* #,##0.00_);_(* \(#,##0.00\);_(* "-"??_);_(@_)</c:formatCode>
                <c:ptCount val="4"/>
                <c:pt idx="0">
                  <c:v>390458.44</c:v>
                </c:pt>
                <c:pt idx="1">
                  <c:v>366872.065</c:v>
                </c:pt>
                <c:pt idx="2">
                  <c:v>350692</c:v>
                </c:pt>
                <c:pt idx="3">
                  <c:v>364861.09499999997</c:v>
                </c:pt>
              </c:numCache>
            </c:numRef>
          </c:val>
          <c:extLst>
            <c:ext xmlns:c16="http://schemas.microsoft.com/office/drawing/2014/chart" uri="{C3380CC4-5D6E-409C-BE32-E72D297353CC}">
              <c16:uniqueId val="{0000000A-8AFA-487D-888F-0B2C2D473381}"/>
            </c:ext>
          </c:extLst>
        </c:ser>
        <c:dLbls>
          <c:dLblPos val="outEnd"/>
          <c:showLegendKey val="0"/>
          <c:showVal val="1"/>
          <c:showCatName val="0"/>
          <c:showSerName val="0"/>
          <c:showPercent val="0"/>
          <c:showBubbleSize val="0"/>
        </c:dLbls>
        <c:gapWidth val="219"/>
        <c:overlap val="-27"/>
        <c:axId val="1274827888"/>
        <c:axId val="1319733936"/>
      </c:barChart>
      <c:catAx>
        <c:axId val="127482788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Algn val="ctr"/>
        <c:lblOffset val="100"/>
        <c:noMultiLvlLbl val="1"/>
      </c:catAx>
      <c:valAx>
        <c:axId val="1319733936"/>
        <c:scaling>
          <c:orientation val="minMax"/>
        </c:scaling>
        <c:delete val="1"/>
        <c:axPos val="l"/>
        <c:numFmt formatCode="_(* #,##0.00_);_(* \(#,##0.00\);_(* &quot;-&quot;??_);_(@_)" sourceLinked="1"/>
        <c:majorTickMark val="out"/>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Net Margins</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8A09-40F8-AC83-4FC56EE7869D}"/>
              </c:ext>
            </c:extLst>
          </c:dPt>
          <c:dPt>
            <c:idx val="1"/>
            <c:invertIfNegative val="0"/>
            <c:bubble3D val="0"/>
            <c:spPr>
              <a:solidFill>
                <a:srgbClr val="002060"/>
              </a:solidFill>
              <a:ln>
                <a:noFill/>
              </a:ln>
              <a:effectLst/>
            </c:spPr>
            <c:extLst>
              <c:ext xmlns:c16="http://schemas.microsoft.com/office/drawing/2014/chart" uri="{C3380CC4-5D6E-409C-BE32-E72D297353CC}">
                <c16:uniqueId val="{00000003-8A09-40F8-AC83-4FC56EE7869D}"/>
              </c:ext>
            </c:extLst>
          </c:dPt>
          <c:dPt>
            <c:idx val="2"/>
            <c:invertIfNegative val="0"/>
            <c:bubble3D val="0"/>
            <c:spPr>
              <a:solidFill>
                <a:srgbClr val="002060"/>
              </a:solidFill>
              <a:ln>
                <a:noFill/>
              </a:ln>
              <a:effectLst/>
            </c:spPr>
            <c:extLst>
              <c:ext xmlns:c16="http://schemas.microsoft.com/office/drawing/2014/chart" uri="{C3380CC4-5D6E-409C-BE32-E72D297353CC}">
                <c16:uniqueId val="{00000005-8A09-40F8-AC83-4FC56EE7869D}"/>
              </c:ext>
            </c:extLst>
          </c:dPt>
          <c:dPt>
            <c:idx val="4"/>
            <c:invertIfNegative val="0"/>
            <c:bubble3D val="0"/>
            <c:spPr>
              <a:solidFill>
                <a:srgbClr val="002060"/>
              </a:solidFill>
              <a:ln>
                <a:noFill/>
              </a:ln>
              <a:effectLst/>
            </c:spPr>
            <c:extLst>
              <c:ext xmlns:c16="http://schemas.microsoft.com/office/drawing/2014/chart" uri="{C3380CC4-5D6E-409C-BE32-E72D297353CC}">
                <c16:uniqueId val="{00000007-8A09-40F8-AC83-4FC56EE7869D}"/>
              </c:ext>
            </c:extLst>
          </c:dPt>
          <c:dLbls>
            <c:dLbl>
              <c:idx val="2"/>
              <c:layout>
                <c:manualLayout>
                  <c:x val="2.8142001882411921E-2"/>
                  <c:y val="-2.79799395592096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09-40F8-AC83-4FC56EE7869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 '!$F$41:$J$41</c:f>
              <c:numCache>
                <c:formatCode>General</c:formatCode>
                <c:ptCount val="5"/>
                <c:pt idx="0">
                  <c:v>44621</c:v>
                </c:pt>
                <c:pt idx="1">
                  <c:v>44986</c:v>
                </c:pt>
                <c:pt idx="2">
                  <c:v>45352</c:v>
                </c:pt>
                <c:pt idx="3">
                  <c:v>45717</c:v>
                </c:pt>
                <c:pt idx="4">
                  <c:v>46082</c:v>
                </c:pt>
              </c:numCache>
            </c:numRef>
          </c:cat>
          <c:val>
            <c:numRef>
              <c:f>'Dupont Analysis'!$E$68:$H$68</c:f>
              <c:numCache>
                <c:formatCode>0.00%</c:formatCode>
                <c:ptCount val="4"/>
                <c:pt idx="0">
                  <c:v>3.3183730165464852E-2</c:v>
                </c:pt>
                <c:pt idx="1">
                  <c:v>-2.1423368197289364E-2</c:v>
                </c:pt>
                <c:pt idx="2">
                  <c:v>1.4522483520483001E-2</c:v>
                </c:pt>
                <c:pt idx="3">
                  <c:v>4.6893352346003031E-2</c:v>
                </c:pt>
              </c:numCache>
            </c:numRef>
          </c:val>
          <c:extLst>
            <c:ext xmlns:c16="http://schemas.microsoft.com/office/drawing/2014/chart" uri="{C3380CC4-5D6E-409C-BE32-E72D297353CC}">
              <c16:uniqueId val="{00000008-8A09-40F8-AC83-4FC56EE7869D}"/>
            </c:ext>
          </c:extLst>
        </c:ser>
        <c:dLbls>
          <c:showLegendKey val="0"/>
          <c:showVal val="0"/>
          <c:showCatName val="0"/>
          <c:showSerName val="0"/>
          <c:showPercent val="0"/>
          <c:showBubbleSize val="0"/>
        </c:dLbls>
        <c:gapWidth val="219"/>
        <c:overlap val="-27"/>
        <c:axId val="1274827888"/>
        <c:axId val="1319733936"/>
      </c:barChart>
      <c:cat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Algn val="ctr"/>
        <c:lblOffset val="100"/>
        <c:noMultiLvlLbl val="1"/>
      </c:catAx>
      <c:valAx>
        <c:axId val="1319733936"/>
        <c:scaling>
          <c:orientation val="minMax"/>
        </c:scaling>
        <c:delete val="1"/>
        <c:axPos val="l"/>
        <c:numFmt formatCode="0.00%"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ROE</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9644-43C1-B919-88AF3AA0C44C}"/>
              </c:ext>
            </c:extLst>
          </c:dPt>
          <c:dPt>
            <c:idx val="1"/>
            <c:invertIfNegative val="0"/>
            <c:bubble3D val="0"/>
            <c:spPr>
              <a:solidFill>
                <a:srgbClr val="002060"/>
              </a:solidFill>
              <a:ln>
                <a:noFill/>
              </a:ln>
              <a:effectLst/>
            </c:spPr>
            <c:extLst>
              <c:ext xmlns:c16="http://schemas.microsoft.com/office/drawing/2014/chart" uri="{C3380CC4-5D6E-409C-BE32-E72D297353CC}">
                <c16:uniqueId val="{00000003-9644-43C1-B919-88AF3AA0C44C}"/>
              </c:ext>
            </c:extLst>
          </c:dPt>
          <c:dPt>
            <c:idx val="2"/>
            <c:invertIfNegative val="0"/>
            <c:bubble3D val="0"/>
            <c:spPr>
              <a:solidFill>
                <a:srgbClr val="002060"/>
              </a:solidFill>
              <a:ln>
                <a:noFill/>
              </a:ln>
              <a:effectLst/>
            </c:spPr>
            <c:extLst>
              <c:ext xmlns:c16="http://schemas.microsoft.com/office/drawing/2014/chart" uri="{C3380CC4-5D6E-409C-BE32-E72D297353CC}">
                <c16:uniqueId val="{00000005-9644-43C1-B919-88AF3AA0C44C}"/>
              </c:ext>
            </c:extLst>
          </c:dPt>
          <c:dPt>
            <c:idx val="3"/>
            <c:invertIfNegative val="0"/>
            <c:bubble3D val="0"/>
            <c:spPr>
              <a:solidFill>
                <a:srgbClr val="002060"/>
              </a:solidFill>
              <a:ln>
                <a:noFill/>
              </a:ln>
              <a:effectLst/>
            </c:spPr>
            <c:extLst>
              <c:ext xmlns:c16="http://schemas.microsoft.com/office/drawing/2014/chart" uri="{C3380CC4-5D6E-409C-BE32-E72D297353CC}">
                <c16:uniqueId val="{00000007-9644-43C1-B919-88AF3AA0C44C}"/>
              </c:ext>
            </c:extLst>
          </c:dPt>
          <c:dPt>
            <c:idx val="4"/>
            <c:invertIfNegative val="0"/>
            <c:bubble3D val="0"/>
            <c:spPr>
              <a:solidFill>
                <a:srgbClr val="002060"/>
              </a:solidFill>
              <a:ln>
                <a:noFill/>
              </a:ln>
              <a:effectLst/>
            </c:spPr>
            <c:extLst>
              <c:ext xmlns:c16="http://schemas.microsoft.com/office/drawing/2014/chart" uri="{C3380CC4-5D6E-409C-BE32-E72D297353CC}">
                <c16:uniqueId val="{00000009-9644-43C1-B919-88AF3AA0C44C}"/>
              </c:ext>
            </c:extLst>
          </c:dPt>
          <c:dLbls>
            <c:dLbl>
              <c:idx val="2"/>
              <c:layout>
                <c:manualLayout>
                  <c:x val="0"/>
                  <c:y val="1.15119864059097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44-43C1-B919-88AF3AA0C44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 '!$F$41:$J$41</c:f>
              <c:numCache>
                <c:formatCode>General</c:formatCode>
                <c:ptCount val="5"/>
                <c:pt idx="0">
                  <c:v>44621</c:v>
                </c:pt>
                <c:pt idx="1">
                  <c:v>44986</c:v>
                </c:pt>
                <c:pt idx="2">
                  <c:v>45352</c:v>
                </c:pt>
                <c:pt idx="3">
                  <c:v>45717</c:v>
                </c:pt>
                <c:pt idx="4">
                  <c:v>46082</c:v>
                </c:pt>
              </c:numCache>
            </c:numRef>
          </c:cat>
          <c:val>
            <c:numRef>
              <c:f>'Dupont Analysis'!$E$56:$H$56</c:f>
              <c:numCache>
                <c:formatCode>0.00%</c:formatCode>
                <c:ptCount val="4"/>
                <c:pt idx="0">
                  <c:v>7.4247509965974651E-2</c:v>
                </c:pt>
                <c:pt idx="1">
                  <c:v>-5.0324557680163126E-2</c:v>
                </c:pt>
                <c:pt idx="2">
                  <c:v>3.4647233905072246E-2</c:v>
                </c:pt>
                <c:pt idx="3">
                  <c:v>0.11260963224474868</c:v>
                </c:pt>
              </c:numCache>
            </c:numRef>
          </c:val>
          <c:extLst>
            <c:ext xmlns:c16="http://schemas.microsoft.com/office/drawing/2014/chart" uri="{C3380CC4-5D6E-409C-BE32-E72D297353CC}">
              <c16:uniqueId val="{0000000A-9644-43C1-B919-88AF3AA0C44C}"/>
            </c:ext>
          </c:extLst>
        </c:ser>
        <c:dLbls>
          <c:dLblPos val="outEnd"/>
          <c:showLegendKey val="0"/>
          <c:showVal val="1"/>
          <c:showCatName val="0"/>
          <c:showSerName val="0"/>
          <c:showPercent val="0"/>
          <c:showBubbleSize val="0"/>
        </c:dLbls>
        <c:gapWidth val="219"/>
        <c:overlap val="-27"/>
        <c:axId val="1274827888"/>
        <c:axId val="1319733936"/>
      </c:barChart>
      <c:cat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Algn val="ctr"/>
        <c:lblOffset val="100"/>
        <c:noMultiLvlLbl val="1"/>
      </c:catAx>
      <c:valAx>
        <c:axId val="1319733936"/>
        <c:scaling>
          <c:orientation val="minMax"/>
        </c:scaling>
        <c:delete val="1"/>
        <c:axPos val="l"/>
        <c:numFmt formatCode="0.00%"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Equity Multipler</c:v>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CCB7-4D76-8EA4-1EFAF156F830}"/>
              </c:ext>
            </c:extLst>
          </c:dPt>
          <c:dPt>
            <c:idx val="1"/>
            <c:invertIfNegative val="0"/>
            <c:bubble3D val="0"/>
            <c:spPr>
              <a:solidFill>
                <a:srgbClr val="002060"/>
              </a:solidFill>
              <a:ln>
                <a:noFill/>
              </a:ln>
              <a:effectLst/>
            </c:spPr>
            <c:extLst>
              <c:ext xmlns:c16="http://schemas.microsoft.com/office/drawing/2014/chart" uri="{C3380CC4-5D6E-409C-BE32-E72D297353CC}">
                <c16:uniqueId val="{00000003-CCB7-4D76-8EA4-1EFAF156F830}"/>
              </c:ext>
            </c:extLst>
          </c:dPt>
          <c:dPt>
            <c:idx val="2"/>
            <c:invertIfNegative val="0"/>
            <c:bubble3D val="0"/>
            <c:spPr>
              <a:solidFill>
                <a:srgbClr val="002060"/>
              </a:solidFill>
              <a:ln>
                <a:noFill/>
              </a:ln>
              <a:effectLst/>
            </c:spPr>
            <c:extLst>
              <c:ext xmlns:c16="http://schemas.microsoft.com/office/drawing/2014/chart" uri="{C3380CC4-5D6E-409C-BE32-E72D297353CC}">
                <c16:uniqueId val="{00000005-CCB7-4D76-8EA4-1EFAF156F830}"/>
              </c:ext>
            </c:extLst>
          </c:dPt>
          <c:dPt>
            <c:idx val="3"/>
            <c:invertIfNegative val="0"/>
            <c:bubble3D val="0"/>
            <c:spPr>
              <a:solidFill>
                <a:srgbClr val="002060"/>
              </a:solidFill>
              <a:ln>
                <a:noFill/>
              </a:ln>
              <a:effectLst/>
            </c:spPr>
            <c:extLst>
              <c:ext xmlns:c16="http://schemas.microsoft.com/office/drawing/2014/chart" uri="{C3380CC4-5D6E-409C-BE32-E72D297353CC}">
                <c16:uniqueId val="{00000007-CCB7-4D76-8EA4-1EFAF156F830}"/>
              </c:ext>
            </c:extLst>
          </c:dPt>
          <c:dPt>
            <c:idx val="4"/>
            <c:invertIfNegative val="0"/>
            <c:bubble3D val="0"/>
            <c:spPr>
              <a:solidFill>
                <a:srgbClr val="002060"/>
              </a:solidFill>
              <a:ln>
                <a:noFill/>
              </a:ln>
              <a:effectLst/>
            </c:spPr>
            <c:extLst>
              <c:ext xmlns:c16="http://schemas.microsoft.com/office/drawing/2014/chart" uri="{C3380CC4-5D6E-409C-BE32-E72D297353CC}">
                <c16:uniqueId val="{00000009-CCB7-4D76-8EA4-1EFAF156F830}"/>
              </c:ext>
            </c:extLst>
          </c:dPt>
          <c:dLbls>
            <c:numFmt formatCode="0.0\x"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 '!$F$41:$J$41</c:f>
              <c:numCache>
                <c:formatCode>General</c:formatCode>
                <c:ptCount val="5"/>
                <c:pt idx="0">
                  <c:v>44621</c:v>
                </c:pt>
                <c:pt idx="1">
                  <c:v>44986</c:v>
                </c:pt>
                <c:pt idx="2">
                  <c:v>45352</c:v>
                </c:pt>
                <c:pt idx="3">
                  <c:v>45717</c:v>
                </c:pt>
                <c:pt idx="4">
                  <c:v>46082</c:v>
                </c:pt>
              </c:numCache>
            </c:numRef>
          </c:cat>
          <c:val>
            <c:numRef>
              <c:f>'Dupont Analysis'!$E$54:$H$54</c:f>
              <c:numCache>
                <c:formatCode>0.0\x</c:formatCode>
                <c:ptCount val="4"/>
                <c:pt idx="0">
                  <c:v>3.5900074814340996</c:v>
                </c:pt>
                <c:pt idx="1">
                  <c:v>3.7605175149009935</c:v>
                </c:pt>
                <c:pt idx="2">
                  <c:v>3.8284026468871901</c:v>
                </c:pt>
                <c:pt idx="3">
                  <c:v>3.7743480719290137</c:v>
                </c:pt>
              </c:numCache>
            </c:numRef>
          </c:val>
          <c:extLst>
            <c:ext xmlns:c16="http://schemas.microsoft.com/office/drawing/2014/chart" uri="{C3380CC4-5D6E-409C-BE32-E72D297353CC}">
              <c16:uniqueId val="{0000000A-CCB7-4D76-8EA4-1EFAF156F830}"/>
            </c:ext>
          </c:extLst>
        </c:ser>
        <c:dLbls>
          <c:dLblPos val="outEnd"/>
          <c:showLegendKey val="0"/>
          <c:showVal val="1"/>
          <c:showCatName val="0"/>
          <c:showSerName val="0"/>
          <c:showPercent val="0"/>
          <c:showBubbleSize val="0"/>
        </c:dLbls>
        <c:gapWidth val="219"/>
        <c:overlap val="-27"/>
        <c:axId val="1274827888"/>
        <c:axId val="1319733936"/>
      </c:barChart>
      <c:catAx>
        <c:axId val="127482788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33936"/>
        <c:crosses val="autoZero"/>
        <c:auto val="1"/>
        <c:lblAlgn val="ctr"/>
        <c:lblOffset val="100"/>
        <c:noMultiLvlLbl val="1"/>
      </c:catAx>
      <c:valAx>
        <c:axId val="1319733936"/>
        <c:scaling>
          <c:orientation val="minMax"/>
        </c:scaling>
        <c:delete val="1"/>
        <c:axPos val="l"/>
        <c:numFmt formatCode="0.0\x" sourceLinked="1"/>
        <c:majorTickMark val="none"/>
        <c:minorTickMark val="none"/>
        <c:tickLblPos val="nextTo"/>
        <c:crossAx val="127482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Football</a:t>
            </a:r>
            <a:r>
              <a:rPr lang="en-IN" baseline="0"/>
              <a:t> Feild Valuation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'Football Feild Analysis'!$F$4</c:f>
              <c:strCache>
                <c:ptCount val="1"/>
                <c:pt idx="0">
                  <c:v>Start</c:v>
                </c:pt>
              </c:strCache>
            </c:strRef>
          </c:tx>
          <c:spPr>
            <a:noFill/>
            <a:ln>
              <a:noFill/>
            </a:ln>
            <a:effectLst/>
          </c:spPr>
          <c:invertIfNegative val="0"/>
          <c:cat>
            <c:strRef>
              <c:f>'Football Feild Analysis'!$B$5:$B$8</c:f>
              <c:strCache>
                <c:ptCount val="4"/>
                <c:pt idx="0">
                  <c:v>DCF</c:v>
                </c:pt>
                <c:pt idx="1">
                  <c:v>EV / EBITDA</c:v>
                </c:pt>
                <c:pt idx="2">
                  <c:v>EV / Revenue</c:v>
                </c:pt>
                <c:pt idx="3">
                  <c:v>Current Market Price</c:v>
                </c:pt>
              </c:strCache>
            </c:strRef>
          </c:cat>
          <c:val>
            <c:numRef>
              <c:f>'Football Feild Analysis'!$F$5:$F$8</c:f>
              <c:numCache>
                <c:formatCode>_("₹"* #,##0.00_);_("₹"* \(#,##0.00\);_("₹"* "-"??_);_(@_)</c:formatCode>
                <c:ptCount val="4"/>
                <c:pt idx="0">
                  <c:v>244.4</c:v>
                </c:pt>
                <c:pt idx="1">
                  <c:v>245.5</c:v>
                </c:pt>
                <c:pt idx="2">
                  <c:v>251.6</c:v>
                </c:pt>
                <c:pt idx="3">
                  <c:v>185</c:v>
                </c:pt>
              </c:numCache>
            </c:numRef>
          </c:val>
          <c:extLst>
            <c:ext xmlns:c16="http://schemas.microsoft.com/office/drawing/2014/chart" uri="{C3380CC4-5D6E-409C-BE32-E72D297353CC}">
              <c16:uniqueId val="{00000000-0C30-4915-B78A-4FCDA00FA385}"/>
            </c:ext>
          </c:extLst>
        </c:ser>
        <c:ser>
          <c:idx val="1"/>
          <c:order val="1"/>
          <c:tx>
            <c:strRef>
              <c:f>'Football Feild Analysis'!$G$4</c:f>
              <c:strCache>
                <c:ptCount val="1"/>
                <c:pt idx="0">
                  <c:v>Width</c:v>
                </c:pt>
              </c:strCache>
            </c:strRef>
          </c:tx>
          <c:spPr>
            <a:solidFill>
              <a:srgbClr val="92D05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4-0C30-4915-B78A-4FCDA00FA385}"/>
              </c:ext>
            </c:extLst>
          </c:dPt>
          <c:dPt>
            <c:idx val="1"/>
            <c:invertIfNegative val="0"/>
            <c:bubble3D val="0"/>
            <c:spPr>
              <a:solidFill>
                <a:srgbClr val="FFC000"/>
              </a:solidFill>
              <a:ln>
                <a:noFill/>
              </a:ln>
              <a:effectLst/>
            </c:spPr>
            <c:extLst>
              <c:ext xmlns:c16="http://schemas.microsoft.com/office/drawing/2014/chart" uri="{C3380CC4-5D6E-409C-BE32-E72D297353CC}">
                <c16:uniqueId val="{00000002-0C30-4915-B78A-4FCDA00FA385}"/>
              </c:ext>
            </c:extLst>
          </c:dPt>
          <c:dPt>
            <c:idx val="2"/>
            <c:invertIfNegative val="0"/>
            <c:bubble3D val="0"/>
            <c:spPr>
              <a:solidFill>
                <a:srgbClr val="FF0000"/>
              </a:solidFill>
              <a:ln>
                <a:noFill/>
              </a:ln>
              <a:effectLst/>
            </c:spPr>
            <c:extLst>
              <c:ext xmlns:c16="http://schemas.microsoft.com/office/drawing/2014/chart" uri="{C3380CC4-5D6E-409C-BE32-E72D297353CC}">
                <c16:uniqueId val="{00000003-0C30-4915-B78A-4FCDA00FA385}"/>
              </c:ext>
            </c:extLst>
          </c:dPt>
          <c:dLbls>
            <c:dLbl>
              <c:idx val="0"/>
              <c:delete val="1"/>
              <c:extLst>
                <c:ext xmlns:c15="http://schemas.microsoft.com/office/drawing/2012/chart" uri="{CE6537A1-D6FC-4f65-9D91-7224C49458BB}"/>
                <c:ext xmlns:c16="http://schemas.microsoft.com/office/drawing/2014/chart" uri="{C3380CC4-5D6E-409C-BE32-E72D297353CC}">
                  <c16:uniqueId val="{00000004-0C30-4915-B78A-4FCDA00FA385}"/>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Feild Analysis'!$B$5:$B$8</c:f>
              <c:strCache>
                <c:ptCount val="4"/>
                <c:pt idx="0">
                  <c:v>DCF</c:v>
                </c:pt>
                <c:pt idx="1">
                  <c:v>EV / EBITDA</c:v>
                </c:pt>
                <c:pt idx="2">
                  <c:v>EV / Revenue</c:v>
                </c:pt>
                <c:pt idx="3">
                  <c:v>Current Market Price</c:v>
                </c:pt>
              </c:strCache>
            </c:strRef>
          </c:cat>
          <c:val>
            <c:numRef>
              <c:f>'Football Feild Analysis'!$G$5:$G$8</c:f>
              <c:numCache>
                <c:formatCode>_("₹"* #,##0.00_);_("₹"* \(#,##0.00\);_("₹"* "-"??_);_(@_)</c:formatCode>
                <c:ptCount val="4"/>
                <c:pt idx="0">
                  <c:v>109.20000000000002</c:v>
                </c:pt>
                <c:pt idx="1">
                  <c:v>2</c:v>
                </c:pt>
                <c:pt idx="2">
                  <c:v>2</c:v>
                </c:pt>
                <c:pt idx="3">
                  <c:v>2</c:v>
                </c:pt>
              </c:numCache>
            </c:numRef>
          </c:val>
          <c:extLst>
            <c:ext xmlns:c16="http://schemas.microsoft.com/office/drawing/2014/chart" uri="{C3380CC4-5D6E-409C-BE32-E72D297353CC}">
              <c16:uniqueId val="{00000001-0C30-4915-B78A-4FCDA00FA385}"/>
            </c:ext>
          </c:extLst>
        </c:ser>
        <c:dLbls>
          <c:showLegendKey val="0"/>
          <c:showVal val="0"/>
          <c:showCatName val="0"/>
          <c:showSerName val="0"/>
          <c:showPercent val="0"/>
          <c:showBubbleSize val="0"/>
        </c:dLbls>
        <c:gapWidth val="30"/>
        <c:overlap val="100"/>
        <c:axId val="476003711"/>
        <c:axId val="2108837327"/>
      </c:barChart>
      <c:catAx>
        <c:axId val="47600371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37327"/>
        <c:crosses val="autoZero"/>
        <c:auto val="1"/>
        <c:lblAlgn val="ctr"/>
        <c:lblOffset val="100"/>
        <c:noMultiLvlLbl val="0"/>
      </c:catAx>
      <c:valAx>
        <c:axId val="2108837327"/>
        <c:scaling>
          <c:orientation val="minMax"/>
          <c:max val="380"/>
          <c:min val="150"/>
        </c:scaling>
        <c:delete val="0"/>
        <c:axPos val="t"/>
        <c:numFmt formatCode="General" sourceLinked="0"/>
        <c:majorTickMark val="none"/>
        <c:minorTickMark val="none"/>
        <c:tickLblPos val="nextTo"/>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76003711"/>
        <c:crosses val="autoZero"/>
        <c:crossBetween val="between"/>
        <c:majorUnit val="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5Y</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Sheet3!$B$1</c:f>
              <c:strCache>
                <c:ptCount val="1"/>
                <c:pt idx="0">
                  <c:v>Price</c:v>
                </c:pt>
              </c:strCache>
            </c:strRef>
          </c:tx>
          <c:spPr>
            <a:ln w="28575" cap="rnd">
              <a:solidFill>
                <a:srgbClr val="002060"/>
              </a:solidFill>
              <a:round/>
            </a:ln>
            <a:effectLst/>
          </c:spPr>
          <c:marker>
            <c:symbol val="none"/>
          </c:marker>
          <c:cat>
            <c:numRef>
              <c:f>Sheet3!$A$2:$A$991</c:f>
              <c:numCache>
                <c:formatCode>m/d/yyyy</c:formatCode>
                <c:ptCount val="990"/>
                <c:pt idx="0">
                  <c:v>46234</c:v>
                </c:pt>
                <c:pt idx="1">
                  <c:v>46233</c:v>
                </c:pt>
                <c:pt idx="2">
                  <c:v>46232</c:v>
                </c:pt>
                <c:pt idx="3">
                  <c:v>46231</c:v>
                </c:pt>
                <c:pt idx="4">
                  <c:v>46230</c:v>
                </c:pt>
                <c:pt idx="5">
                  <c:v>46227</c:v>
                </c:pt>
                <c:pt idx="6">
                  <c:v>46226</c:v>
                </c:pt>
                <c:pt idx="7">
                  <c:v>46225</c:v>
                </c:pt>
                <c:pt idx="8">
                  <c:v>46224</c:v>
                </c:pt>
                <c:pt idx="9">
                  <c:v>46223</c:v>
                </c:pt>
                <c:pt idx="10">
                  <c:v>46220</c:v>
                </c:pt>
                <c:pt idx="11">
                  <c:v>46219</c:v>
                </c:pt>
                <c:pt idx="12">
                  <c:v>46218</c:v>
                </c:pt>
                <c:pt idx="13">
                  <c:v>46217</c:v>
                </c:pt>
                <c:pt idx="14">
                  <c:v>46216</c:v>
                </c:pt>
                <c:pt idx="15">
                  <c:v>46213</c:v>
                </c:pt>
                <c:pt idx="16">
                  <c:v>46212</c:v>
                </c:pt>
                <c:pt idx="17">
                  <c:v>46211</c:v>
                </c:pt>
                <c:pt idx="18">
                  <c:v>46210</c:v>
                </c:pt>
                <c:pt idx="19">
                  <c:v>46209</c:v>
                </c:pt>
                <c:pt idx="20">
                  <c:v>46206</c:v>
                </c:pt>
                <c:pt idx="21">
                  <c:v>46205</c:v>
                </c:pt>
                <c:pt idx="22">
                  <c:v>46204</c:v>
                </c:pt>
                <c:pt idx="23">
                  <c:v>46203</c:v>
                </c:pt>
                <c:pt idx="24">
                  <c:v>46202</c:v>
                </c:pt>
                <c:pt idx="25">
                  <c:v>46198</c:v>
                </c:pt>
                <c:pt idx="26">
                  <c:v>46197</c:v>
                </c:pt>
                <c:pt idx="27">
                  <c:v>46196</c:v>
                </c:pt>
                <c:pt idx="28">
                  <c:v>46195</c:v>
                </c:pt>
                <c:pt idx="29">
                  <c:v>46192</c:v>
                </c:pt>
                <c:pt idx="30">
                  <c:v>46191</c:v>
                </c:pt>
                <c:pt idx="31">
                  <c:v>46190</c:v>
                </c:pt>
                <c:pt idx="32">
                  <c:v>46189</c:v>
                </c:pt>
                <c:pt idx="33">
                  <c:v>46188</c:v>
                </c:pt>
                <c:pt idx="34">
                  <c:v>46185</c:v>
                </c:pt>
                <c:pt idx="35">
                  <c:v>46184</c:v>
                </c:pt>
                <c:pt idx="36">
                  <c:v>46183</c:v>
                </c:pt>
                <c:pt idx="37">
                  <c:v>46182</c:v>
                </c:pt>
                <c:pt idx="38">
                  <c:v>46181</c:v>
                </c:pt>
                <c:pt idx="39">
                  <c:v>46178</c:v>
                </c:pt>
                <c:pt idx="40">
                  <c:v>46177</c:v>
                </c:pt>
                <c:pt idx="41">
                  <c:v>46176</c:v>
                </c:pt>
                <c:pt idx="42">
                  <c:v>46175</c:v>
                </c:pt>
                <c:pt idx="43">
                  <c:v>46174</c:v>
                </c:pt>
                <c:pt idx="44">
                  <c:v>46171</c:v>
                </c:pt>
                <c:pt idx="45">
                  <c:v>46169</c:v>
                </c:pt>
                <c:pt idx="46">
                  <c:v>46168</c:v>
                </c:pt>
                <c:pt idx="47">
                  <c:v>46167</c:v>
                </c:pt>
                <c:pt idx="48">
                  <c:v>46164</c:v>
                </c:pt>
                <c:pt idx="49">
                  <c:v>46163</c:v>
                </c:pt>
                <c:pt idx="50">
                  <c:v>46162</c:v>
                </c:pt>
                <c:pt idx="51">
                  <c:v>46161</c:v>
                </c:pt>
                <c:pt idx="52">
                  <c:v>46160</c:v>
                </c:pt>
                <c:pt idx="53">
                  <c:v>46157</c:v>
                </c:pt>
                <c:pt idx="54">
                  <c:v>46156</c:v>
                </c:pt>
                <c:pt idx="55">
                  <c:v>46155</c:v>
                </c:pt>
                <c:pt idx="56">
                  <c:v>46154</c:v>
                </c:pt>
                <c:pt idx="57">
                  <c:v>46153</c:v>
                </c:pt>
                <c:pt idx="58">
                  <c:v>46150</c:v>
                </c:pt>
                <c:pt idx="59">
                  <c:v>46149</c:v>
                </c:pt>
                <c:pt idx="60">
                  <c:v>46148</c:v>
                </c:pt>
                <c:pt idx="61">
                  <c:v>46147</c:v>
                </c:pt>
                <c:pt idx="62">
                  <c:v>46146</c:v>
                </c:pt>
                <c:pt idx="63">
                  <c:v>46142</c:v>
                </c:pt>
                <c:pt idx="64">
                  <c:v>46141</c:v>
                </c:pt>
                <c:pt idx="65">
                  <c:v>46140</c:v>
                </c:pt>
                <c:pt idx="66">
                  <c:v>46139</c:v>
                </c:pt>
                <c:pt idx="67">
                  <c:v>46136</c:v>
                </c:pt>
                <c:pt idx="68">
                  <c:v>46135</c:v>
                </c:pt>
                <c:pt idx="69">
                  <c:v>46134</c:v>
                </c:pt>
                <c:pt idx="70">
                  <c:v>46133</c:v>
                </c:pt>
                <c:pt idx="71">
                  <c:v>46132</c:v>
                </c:pt>
                <c:pt idx="72">
                  <c:v>46129</c:v>
                </c:pt>
                <c:pt idx="73">
                  <c:v>46128</c:v>
                </c:pt>
                <c:pt idx="74">
                  <c:v>46127</c:v>
                </c:pt>
                <c:pt idx="75">
                  <c:v>46125</c:v>
                </c:pt>
                <c:pt idx="76">
                  <c:v>46122</c:v>
                </c:pt>
                <c:pt idx="77">
                  <c:v>46121</c:v>
                </c:pt>
                <c:pt idx="78">
                  <c:v>46120</c:v>
                </c:pt>
                <c:pt idx="79">
                  <c:v>46119</c:v>
                </c:pt>
                <c:pt idx="80">
                  <c:v>46118</c:v>
                </c:pt>
                <c:pt idx="81">
                  <c:v>46114</c:v>
                </c:pt>
                <c:pt idx="82">
                  <c:v>46113</c:v>
                </c:pt>
                <c:pt idx="83">
                  <c:v>46111</c:v>
                </c:pt>
                <c:pt idx="84">
                  <c:v>46108</c:v>
                </c:pt>
                <c:pt idx="85">
                  <c:v>46106</c:v>
                </c:pt>
                <c:pt idx="86">
                  <c:v>46105</c:v>
                </c:pt>
                <c:pt idx="87">
                  <c:v>46104</c:v>
                </c:pt>
                <c:pt idx="88">
                  <c:v>46101</c:v>
                </c:pt>
                <c:pt idx="89">
                  <c:v>46100</c:v>
                </c:pt>
                <c:pt idx="90">
                  <c:v>46099</c:v>
                </c:pt>
                <c:pt idx="91">
                  <c:v>46098</c:v>
                </c:pt>
                <c:pt idx="92">
                  <c:v>46097</c:v>
                </c:pt>
                <c:pt idx="93">
                  <c:v>46094</c:v>
                </c:pt>
                <c:pt idx="94">
                  <c:v>46093</c:v>
                </c:pt>
                <c:pt idx="95">
                  <c:v>46092</c:v>
                </c:pt>
                <c:pt idx="96">
                  <c:v>46091</c:v>
                </c:pt>
                <c:pt idx="97">
                  <c:v>46090</c:v>
                </c:pt>
                <c:pt idx="98">
                  <c:v>46087</c:v>
                </c:pt>
                <c:pt idx="99">
                  <c:v>46086</c:v>
                </c:pt>
                <c:pt idx="100">
                  <c:v>46085</c:v>
                </c:pt>
                <c:pt idx="101">
                  <c:v>46083</c:v>
                </c:pt>
                <c:pt idx="102">
                  <c:v>46080</c:v>
                </c:pt>
                <c:pt idx="103">
                  <c:v>46079</c:v>
                </c:pt>
                <c:pt idx="104">
                  <c:v>46078</c:v>
                </c:pt>
                <c:pt idx="105">
                  <c:v>46077</c:v>
                </c:pt>
                <c:pt idx="106">
                  <c:v>46076</c:v>
                </c:pt>
                <c:pt idx="107">
                  <c:v>46073</c:v>
                </c:pt>
                <c:pt idx="108">
                  <c:v>46072</c:v>
                </c:pt>
                <c:pt idx="109">
                  <c:v>46071</c:v>
                </c:pt>
                <c:pt idx="110">
                  <c:v>46070</c:v>
                </c:pt>
                <c:pt idx="111">
                  <c:v>46069</c:v>
                </c:pt>
                <c:pt idx="112">
                  <c:v>46066</c:v>
                </c:pt>
                <c:pt idx="113">
                  <c:v>46065</c:v>
                </c:pt>
                <c:pt idx="114">
                  <c:v>46064</c:v>
                </c:pt>
                <c:pt idx="115">
                  <c:v>46063</c:v>
                </c:pt>
                <c:pt idx="116">
                  <c:v>46062</c:v>
                </c:pt>
                <c:pt idx="117">
                  <c:v>46059</c:v>
                </c:pt>
                <c:pt idx="118">
                  <c:v>46058</c:v>
                </c:pt>
                <c:pt idx="119">
                  <c:v>46057</c:v>
                </c:pt>
                <c:pt idx="120">
                  <c:v>46056</c:v>
                </c:pt>
                <c:pt idx="121">
                  <c:v>46055</c:v>
                </c:pt>
                <c:pt idx="122">
                  <c:v>46054</c:v>
                </c:pt>
                <c:pt idx="123">
                  <c:v>46052</c:v>
                </c:pt>
                <c:pt idx="124">
                  <c:v>46051</c:v>
                </c:pt>
                <c:pt idx="125">
                  <c:v>46050</c:v>
                </c:pt>
                <c:pt idx="126">
                  <c:v>46049</c:v>
                </c:pt>
                <c:pt idx="127">
                  <c:v>46045</c:v>
                </c:pt>
                <c:pt idx="128">
                  <c:v>46044</c:v>
                </c:pt>
                <c:pt idx="129">
                  <c:v>46043</c:v>
                </c:pt>
                <c:pt idx="130">
                  <c:v>46042</c:v>
                </c:pt>
                <c:pt idx="131">
                  <c:v>46041</c:v>
                </c:pt>
                <c:pt idx="132">
                  <c:v>46038</c:v>
                </c:pt>
                <c:pt idx="133">
                  <c:v>46036</c:v>
                </c:pt>
                <c:pt idx="134">
                  <c:v>46035</c:v>
                </c:pt>
                <c:pt idx="135">
                  <c:v>46034</c:v>
                </c:pt>
                <c:pt idx="136">
                  <c:v>46031</c:v>
                </c:pt>
                <c:pt idx="137">
                  <c:v>46030</c:v>
                </c:pt>
                <c:pt idx="138">
                  <c:v>46029</c:v>
                </c:pt>
                <c:pt idx="139">
                  <c:v>46028</c:v>
                </c:pt>
                <c:pt idx="140">
                  <c:v>46027</c:v>
                </c:pt>
                <c:pt idx="141">
                  <c:v>46024</c:v>
                </c:pt>
                <c:pt idx="142">
                  <c:v>46023</c:v>
                </c:pt>
                <c:pt idx="143">
                  <c:v>46022</c:v>
                </c:pt>
                <c:pt idx="144">
                  <c:v>46021</c:v>
                </c:pt>
                <c:pt idx="145">
                  <c:v>46020</c:v>
                </c:pt>
                <c:pt idx="146">
                  <c:v>46017</c:v>
                </c:pt>
                <c:pt idx="147">
                  <c:v>46015</c:v>
                </c:pt>
                <c:pt idx="148">
                  <c:v>46014</c:v>
                </c:pt>
                <c:pt idx="149">
                  <c:v>46013</c:v>
                </c:pt>
                <c:pt idx="150">
                  <c:v>46010</c:v>
                </c:pt>
                <c:pt idx="151">
                  <c:v>46009</c:v>
                </c:pt>
                <c:pt idx="152">
                  <c:v>46008</c:v>
                </c:pt>
                <c:pt idx="153">
                  <c:v>46007</c:v>
                </c:pt>
                <c:pt idx="154">
                  <c:v>46006</c:v>
                </c:pt>
                <c:pt idx="155">
                  <c:v>46003</c:v>
                </c:pt>
                <c:pt idx="156">
                  <c:v>46002</c:v>
                </c:pt>
                <c:pt idx="157">
                  <c:v>46001</c:v>
                </c:pt>
                <c:pt idx="158">
                  <c:v>46000</c:v>
                </c:pt>
                <c:pt idx="159">
                  <c:v>45999</c:v>
                </c:pt>
                <c:pt idx="160">
                  <c:v>45996</c:v>
                </c:pt>
                <c:pt idx="161">
                  <c:v>45995</c:v>
                </c:pt>
                <c:pt idx="162">
                  <c:v>45994</c:v>
                </c:pt>
                <c:pt idx="163">
                  <c:v>45993</c:v>
                </c:pt>
                <c:pt idx="164">
                  <c:v>45992</c:v>
                </c:pt>
                <c:pt idx="165">
                  <c:v>45989</c:v>
                </c:pt>
                <c:pt idx="166">
                  <c:v>45988</c:v>
                </c:pt>
                <c:pt idx="167">
                  <c:v>45987</c:v>
                </c:pt>
                <c:pt idx="168">
                  <c:v>45986</c:v>
                </c:pt>
                <c:pt idx="169">
                  <c:v>45985</c:v>
                </c:pt>
                <c:pt idx="170">
                  <c:v>45982</c:v>
                </c:pt>
                <c:pt idx="171">
                  <c:v>45981</c:v>
                </c:pt>
                <c:pt idx="172">
                  <c:v>45980</c:v>
                </c:pt>
                <c:pt idx="173">
                  <c:v>45979</c:v>
                </c:pt>
                <c:pt idx="174">
                  <c:v>45978</c:v>
                </c:pt>
                <c:pt idx="175">
                  <c:v>45975</c:v>
                </c:pt>
                <c:pt idx="176">
                  <c:v>45974</c:v>
                </c:pt>
                <c:pt idx="177">
                  <c:v>45973</c:v>
                </c:pt>
                <c:pt idx="178">
                  <c:v>45972</c:v>
                </c:pt>
                <c:pt idx="179">
                  <c:v>45971</c:v>
                </c:pt>
                <c:pt idx="180">
                  <c:v>45968</c:v>
                </c:pt>
                <c:pt idx="181">
                  <c:v>45967</c:v>
                </c:pt>
                <c:pt idx="182">
                  <c:v>45965</c:v>
                </c:pt>
                <c:pt idx="183">
                  <c:v>45964</c:v>
                </c:pt>
                <c:pt idx="184">
                  <c:v>45961</c:v>
                </c:pt>
                <c:pt idx="185">
                  <c:v>45960</c:v>
                </c:pt>
                <c:pt idx="186">
                  <c:v>45959</c:v>
                </c:pt>
                <c:pt idx="187">
                  <c:v>45958</c:v>
                </c:pt>
                <c:pt idx="188">
                  <c:v>45957</c:v>
                </c:pt>
                <c:pt idx="189">
                  <c:v>45954</c:v>
                </c:pt>
                <c:pt idx="190">
                  <c:v>45953</c:v>
                </c:pt>
                <c:pt idx="191">
                  <c:v>45951</c:v>
                </c:pt>
                <c:pt idx="192">
                  <c:v>45950</c:v>
                </c:pt>
                <c:pt idx="193">
                  <c:v>45947</c:v>
                </c:pt>
                <c:pt idx="194">
                  <c:v>45946</c:v>
                </c:pt>
                <c:pt idx="195">
                  <c:v>45945</c:v>
                </c:pt>
                <c:pt idx="196">
                  <c:v>45944</c:v>
                </c:pt>
                <c:pt idx="197">
                  <c:v>45943</c:v>
                </c:pt>
                <c:pt idx="198">
                  <c:v>45940</c:v>
                </c:pt>
                <c:pt idx="199">
                  <c:v>45939</c:v>
                </c:pt>
                <c:pt idx="200">
                  <c:v>45938</c:v>
                </c:pt>
                <c:pt idx="201">
                  <c:v>45937</c:v>
                </c:pt>
                <c:pt idx="202">
                  <c:v>45936</c:v>
                </c:pt>
                <c:pt idx="203">
                  <c:v>45933</c:v>
                </c:pt>
                <c:pt idx="204">
                  <c:v>45931</c:v>
                </c:pt>
                <c:pt idx="205">
                  <c:v>45930</c:v>
                </c:pt>
                <c:pt idx="206">
                  <c:v>45929</c:v>
                </c:pt>
                <c:pt idx="207">
                  <c:v>45926</c:v>
                </c:pt>
                <c:pt idx="208">
                  <c:v>45925</c:v>
                </c:pt>
                <c:pt idx="209">
                  <c:v>45924</c:v>
                </c:pt>
                <c:pt idx="210">
                  <c:v>45923</c:v>
                </c:pt>
                <c:pt idx="211">
                  <c:v>45922</c:v>
                </c:pt>
                <c:pt idx="212">
                  <c:v>45919</c:v>
                </c:pt>
                <c:pt idx="213">
                  <c:v>45918</c:v>
                </c:pt>
                <c:pt idx="214">
                  <c:v>45917</c:v>
                </c:pt>
                <c:pt idx="215">
                  <c:v>45916</c:v>
                </c:pt>
                <c:pt idx="216">
                  <c:v>45915</c:v>
                </c:pt>
                <c:pt idx="217">
                  <c:v>45912</c:v>
                </c:pt>
                <c:pt idx="218">
                  <c:v>45911</c:v>
                </c:pt>
                <c:pt idx="219">
                  <c:v>45910</c:v>
                </c:pt>
                <c:pt idx="220">
                  <c:v>45909</c:v>
                </c:pt>
                <c:pt idx="221">
                  <c:v>45908</c:v>
                </c:pt>
                <c:pt idx="222">
                  <c:v>45905</c:v>
                </c:pt>
                <c:pt idx="223">
                  <c:v>45904</c:v>
                </c:pt>
                <c:pt idx="224">
                  <c:v>45903</c:v>
                </c:pt>
                <c:pt idx="225">
                  <c:v>45902</c:v>
                </c:pt>
                <c:pt idx="226">
                  <c:v>45901</c:v>
                </c:pt>
                <c:pt idx="227">
                  <c:v>45898</c:v>
                </c:pt>
                <c:pt idx="228">
                  <c:v>45897</c:v>
                </c:pt>
                <c:pt idx="229">
                  <c:v>45895</c:v>
                </c:pt>
                <c:pt idx="230">
                  <c:v>45894</c:v>
                </c:pt>
                <c:pt idx="231">
                  <c:v>45891</c:v>
                </c:pt>
                <c:pt idx="232">
                  <c:v>45890</c:v>
                </c:pt>
                <c:pt idx="233">
                  <c:v>45889</c:v>
                </c:pt>
                <c:pt idx="234">
                  <c:v>45888</c:v>
                </c:pt>
                <c:pt idx="235">
                  <c:v>45887</c:v>
                </c:pt>
                <c:pt idx="236">
                  <c:v>45883</c:v>
                </c:pt>
                <c:pt idx="237">
                  <c:v>45882</c:v>
                </c:pt>
                <c:pt idx="238">
                  <c:v>45881</c:v>
                </c:pt>
                <c:pt idx="239">
                  <c:v>45880</c:v>
                </c:pt>
                <c:pt idx="240">
                  <c:v>45877</c:v>
                </c:pt>
                <c:pt idx="241">
                  <c:v>45876</c:v>
                </c:pt>
                <c:pt idx="242">
                  <c:v>45875</c:v>
                </c:pt>
                <c:pt idx="243">
                  <c:v>45874</c:v>
                </c:pt>
                <c:pt idx="244">
                  <c:v>45873</c:v>
                </c:pt>
                <c:pt idx="245">
                  <c:v>45870</c:v>
                </c:pt>
                <c:pt idx="246">
                  <c:v>45869</c:v>
                </c:pt>
                <c:pt idx="247">
                  <c:v>45868</c:v>
                </c:pt>
                <c:pt idx="248">
                  <c:v>45867</c:v>
                </c:pt>
                <c:pt idx="249">
                  <c:v>45866</c:v>
                </c:pt>
                <c:pt idx="250">
                  <c:v>45863</c:v>
                </c:pt>
                <c:pt idx="251">
                  <c:v>45862</c:v>
                </c:pt>
                <c:pt idx="252">
                  <c:v>45861</c:v>
                </c:pt>
                <c:pt idx="253">
                  <c:v>45860</c:v>
                </c:pt>
                <c:pt idx="254">
                  <c:v>45859</c:v>
                </c:pt>
                <c:pt idx="255">
                  <c:v>45856</c:v>
                </c:pt>
                <c:pt idx="256">
                  <c:v>45855</c:v>
                </c:pt>
                <c:pt idx="257">
                  <c:v>45854</c:v>
                </c:pt>
                <c:pt idx="258">
                  <c:v>45853</c:v>
                </c:pt>
                <c:pt idx="259">
                  <c:v>45852</c:v>
                </c:pt>
                <c:pt idx="260">
                  <c:v>45849</c:v>
                </c:pt>
                <c:pt idx="261">
                  <c:v>45848</c:v>
                </c:pt>
                <c:pt idx="262">
                  <c:v>45847</c:v>
                </c:pt>
                <c:pt idx="263">
                  <c:v>45846</c:v>
                </c:pt>
                <c:pt idx="264">
                  <c:v>45845</c:v>
                </c:pt>
                <c:pt idx="265">
                  <c:v>45842</c:v>
                </c:pt>
                <c:pt idx="266">
                  <c:v>45841</c:v>
                </c:pt>
                <c:pt idx="267">
                  <c:v>45840</c:v>
                </c:pt>
                <c:pt idx="268">
                  <c:v>45839</c:v>
                </c:pt>
                <c:pt idx="269">
                  <c:v>45838</c:v>
                </c:pt>
                <c:pt idx="270">
                  <c:v>45835</c:v>
                </c:pt>
                <c:pt idx="271">
                  <c:v>45834</c:v>
                </c:pt>
                <c:pt idx="272">
                  <c:v>45833</c:v>
                </c:pt>
                <c:pt idx="273">
                  <c:v>45832</c:v>
                </c:pt>
                <c:pt idx="274">
                  <c:v>45831</c:v>
                </c:pt>
                <c:pt idx="275">
                  <c:v>45828</c:v>
                </c:pt>
                <c:pt idx="276">
                  <c:v>45827</c:v>
                </c:pt>
                <c:pt idx="277">
                  <c:v>45826</c:v>
                </c:pt>
                <c:pt idx="278">
                  <c:v>45825</c:v>
                </c:pt>
                <c:pt idx="279">
                  <c:v>45824</c:v>
                </c:pt>
                <c:pt idx="280">
                  <c:v>45821</c:v>
                </c:pt>
                <c:pt idx="281">
                  <c:v>45820</c:v>
                </c:pt>
                <c:pt idx="282">
                  <c:v>45819</c:v>
                </c:pt>
                <c:pt idx="283">
                  <c:v>45818</c:v>
                </c:pt>
                <c:pt idx="284">
                  <c:v>45817</c:v>
                </c:pt>
                <c:pt idx="285">
                  <c:v>45814</c:v>
                </c:pt>
                <c:pt idx="286">
                  <c:v>45813</c:v>
                </c:pt>
                <c:pt idx="287">
                  <c:v>45812</c:v>
                </c:pt>
                <c:pt idx="288">
                  <c:v>45811</c:v>
                </c:pt>
                <c:pt idx="289">
                  <c:v>45810</c:v>
                </c:pt>
                <c:pt idx="290">
                  <c:v>45807</c:v>
                </c:pt>
                <c:pt idx="291">
                  <c:v>45806</c:v>
                </c:pt>
                <c:pt idx="292">
                  <c:v>45805</c:v>
                </c:pt>
                <c:pt idx="293">
                  <c:v>45804</c:v>
                </c:pt>
                <c:pt idx="294">
                  <c:v>45803</c:v>
                </c:pt>
                <c:pt idx="295">
                  <c:v>45800</c:v>
                </c:pt>
                <c:pt idx="296">
                  <c:v>45799</c:v>
                </c:pt>
                <c:pt idx="297">
                  <c:v>45798</c:v>
                </c:pt>
                <c:pt idx="298">
                  <c:v>45797</c:v>
                </c:pt>
                <c:pt idx="299">
                  <c:v>45796</c:v>
                </c:pt>
                <c:pt idx="300">
                  <c:v>45793</c:v>
                </c:pt>
                <c:pt idx="301">
                  <c:v>45792</c:v>
                </c:pt>
                <c:pt idx="302">
                  <c:v>45791</c:v>
                </c:pt>
                <c:pt idx="303">
                  <c:v>45790</c:v>
                </c:pt>
                <c:pt idx="304">
                  <c:v>45789</c:v>
                </c:pt>
                <c:pt idx="305">
                  <c:v>45786</c:v>
                </c:pt>
                <c:pt idx="306">
                  <c:v>45785</c:v>
                </c:pt>
                <c:pt idx="307">
                  <c:v>45784</c:v>
                </c:pt>
                <c:pt idx="308">
                  <c:v>45783</c:v>
                </c:pt>
                <c:pt idx="309">
                  <c:v>45782</c:v>
                </c:pt>
                <c:pt idx="310">
                  <c:v>45779</c:v>
                </c:pt>
                <c:pt idx="311">
                  <c:v>45777</c:v>
                </c:pt>
                <c:pt idx="312">
                  <c:v>45776</c:v>
                </c:pt>
                <c:pt idx="313">
                  <c:v>45775</c:v>
                </c:pt>
                <c:pt idx="314">
                  <c:v>45772</c:v>
                </c:pt>
                <c:pt idx="315">
                  <c:v>45771</c:v>
                </c:pt>
                <c:pt idx="316">
                  <c:v>45770</c:v>
                </c:pt>
                <c:pt idx="317">
                  <c:v>45769</c:v>
                </c:pt>
                <c:pt idx="318">
                  <c:v>45768</c:v>
                </c:pt>
                <c:pt idx="319">
                  <c:v>45764</c:v>
                </c:pt>
                <c:pt idx="320">
                  <c:v>45763</c:v>
                </c:pt>
                <c:pt idx="321">
                  <c:v>45762</c:v>
                </c:pt>
                <c:pt idx="322">
                  <c:v>45758</c:v>
                </c:pt>
                <c:pt idx="323">
                  <c:v>45756</c:v>
                </c:pt>
                <c:pt idx="324">
                  <c:v>45755</c:v>
                </c:pt>
                <c:pt idx="325">
                  <c:v>45754</c:v>
                </c:pt>
                <c:pt idx="326">
                  <c:v>45751</c:v>
                </c:pt>
                <c:pt idx="327">
                  <c:v>45750</c:v>
                </c:pt>
                <c:pt idx="328">
                  <c:v>45749</c:v>
                </c:pt>
                <c:pt idx="329">
                  <c:v>45748</c:v>
                </c:pt>
                <c:pt idx="330">
                  <c:v>45744</c:v>
                </c:pt>
                <c:pt idx="331">
                  <c:v>45743</c:v>
                </c:pt>
                <c:pt idx="332">
                  <c:v>45742</c:v>
                </c:pt>
                <c:pt idx="333">
                  <c:v>45741</c:v>
                </c:pt>
                <c:pt idx="334">
                  <c:v>45740</c:v>
                </c:pt>
                <c:pt idx="335">
                  <c:v>45737</c:v>
                </c:pt>
                <c:pt idx="336">
                  <c:v>45736</c:v>
                </c:pt>
                <c:pt idx="337">
                  <c:v>45735</c:v>
                </c:pt>
                <c:pt idx="338">
                  <c:v>45734</c:v>
                </c:pt>
                <c:pt idx="339">
                  <c:v>45733</c:v>
                </c:pt>
                <c:pt idx="340">
                  <c:v>45729</c:v>
                </c:pt>
                <c:pt idx="341">
                  <c:v>45728</c:v>
                </c:pt>
                <c:pt idx="342">
                  <c:v>45727</c:v>
                </c:pt>
                <c:pt idx="343">
                  <c:v>45726</c:v>
                </c:pt>
                <c:pt idx="344">
                  <c:v>45723</c:v>
                </c:pt>
                <c:pt idx="345">
                  <c:v>45722</c:v>
                </c:pt>
                <c:pt idx="346">
                  <c:v>45721</c:v>
                </c:pt>
                <c:pt idx="347">
                  <c:v>45720</c:v>
                </c:pt>
                <c:pt idx="348">
                  <c:v>45719</c:v>
                </c:pt>
                <c:pt idx="349">
                  <c:v>45716</c:v>
                </c:pt>
                <c:pt idx="350">
                  <c:v>45715</c:v>
                </c:pt>
                <c:pt idx="351">
                  <c:v>45713</c:v>
                </c:pt>
                <c:pt idx="352">
                  <c:v>45712</c:v>
                </c:pt>
                <c:pt idx="353">
                  <c:v>45709</c:v>
                </c:pt>
                <c:pt idx="354">
                  <c:v>45708</c:v>
                </c:pt>
                <c:pt idx="355">
                  <c:v>45707</c:v>
                </c:pt>
                <c:pt idx="356">
                  <c:v>45706</c:v>
                </c:pt>
                <c:pt idx="357">
                  <c:v>45705</c:v>
                </c:pt>
                <c:pt idx="358">
                  <c:v>45702</c:v>
                </c:pt>
                <c:pt idx="359">
                  <c:v>45701</c:v>
                </c:pt>
                <c:pt idx="360">
                  <c:v>45700</c:v>
                </c:pt>
                <c:pt idx="361">
                  <c:v>45699</c:v>
                </c:pt>
                <c:pt idx="362">
                  <c:v>45698</c:v>
                </c:pt>
                <c:pt idx="363">
                  <c:v>45695</c:v>
                </c:pt>
                <c:pt idx="364">
                  <c:v>45694</c:v>
                </c:pt>
                <c:pt idx="365">
                  <c:v>45693</c:v>
                </c:pt>
                <c:pt idx="366">
                  <c:v>45692</c:v>
                </c:pt>
                <c:pt idx="367">
                  <c:v>45691</c:v>
                </c:pt>
                <c:pt idx="368">
                  <c:v>45689</c:v>
                </c:pt>
                <c:pt idx="369">
                  <c:v>45688</c:v>
                </c:pt>
                <c:pt idx="370">
                  <c:v>45687</c:v>
                </c:pt>
                <c:pt idx="371">
                  <c:v>45686</c:v>
                </c:pt>
                <c:pt idx="372">
                  <c:v>45685</c:v>
                </c:pt>
                <c:pt idx="373">
                  <c:v>45684</c:v>
                </c:pt>
                <c:pt idx="374">
                  <c:v>45681</c:v>
                </c:pt>
                <c:pt idx="375">
                  <c:v>45680</c:v>
                </c:pt>
                <c:pt idx="376">
                  <c:v>45679</c:v>
                </c:pt>
                <c:pt idx="377">
                  <c:v>45678</c:v>
                </c:pt>
                <c:pt idx="378">
                  <c:v>45677</c:v>
                </c:pt>
                <c:pt idx="379">
                  <c:v>45674</c:v>
                </c:pt>
                <c:pt idx="380">
                  <c:v>45673</c:v>
                </c:pt>
                <c:pt idx="381">
                  <c:v>45672</c:v>
                </c:pt>
                <c:pt idx="382">
                  <c:v>45671</c:v>
                </c:pt>
                <c:pt idx="383">
                  <c:v>45670</c:v>
                </c:pt>
                <c:pt idx="384">
                  <c:v>45667</c:v>
                </c:pt>
                <c:pt idx="385">
                  <c:v>45666</c:v>
                </c:pt>
                <c:pt idx="386">
                  <c:v>45665</c:v>
                </c:pt>
                <c:pt idx="387">
                  <c:v>45664</c:v>
                </c:pt>
                <c:pt idx="388">
                  <c:v>45663</c:v>
                </c:pt>
                <c:pt idx="389">
                  <c:v>45660</c:v>
                </c:pt>
                <c:pt idx="390">
                  <c:v>45659</c:v>
                </c:pt>
                <c:pt idx="391">
                  <c:v>45658</c:v>
                </c:pt>
                <c:pt idx="392">
                  <c:v>45657</c:v>
                </c:pt>
                <c:pt idx="393">
                  <c:v>45656</c:v>
                </c:pt>
                <c:pt idx="394">
                  <c:v>45653</c:v>
                </c:pt>
                <c:pt idx="395">
                  <c:v>45652</c:v>
                </c:pt>
                <c:pt idx="396">
                  <c:v>45650</c:v>
                </c:pt>
                <c:pt idx="397">
                  <c:v>45649</c:v>
                </c:pt>
                <c:pt idx="398">
                  <c:v>45646</c:v>
                </c:pt>
                <c:pt idx="399">
                  <c:v>45645</c:v>
                </c:pt>
                <c:pt idx="400">
                  <c:v>45644</c:v>
                </c:pt>
                <c:pt idx="401">
                  <c:v>45643</c:v>
                </c:pt>
                <c:pt idx="402">
                  <c:v>45642</c:v>
                </c:pt>
                <c:pt idx="403">
                  <c:v>45639</c:v>
                </c:pt>
                <c:pt idx="404">
                  <c:v>45638</c:v>
                </c:pt>
                <c:pt idx="405">
                  <c:v>45637</c:v>
                </c:pt>
                <c:pt idx="406">
                  <c:v>45636</c:v>
                </c:pt>
                <c:pt idx="407">
                  <c:v>45635</c:v>
                </c:pt>
                <c:pt idx="408">
                  <c:v>45632</c:v>
                </c:pt>
                <c:pt idx="409">
                  <c:v>45631</c:v>
                </c:pt>
                <c:pt idx="410">
                  <c:v>45630</c:v>
                </c:pt>
                <c:pt idx="411">
                  <c:v>45629</c:v>
                </c:pt>
                <c:pt idx="412">
                  <c:v>45628</c:v>
                </c:pt>
                <c:pt idx="413">
                  <c:v>45625</c:v>
                </c:pt>
                <c:pt idx="414">
                  <c:v>45624</c:v>
                </c:pt>
                <c:pt idx="415">
                  <c:v>45623</c:v>
                </c:pt>
                <c:pt idx="416">
                  <c:v>45622</c:v>
                </c:pt>
                <c:pt idx="417">
                  <c:v>45621</c:v>
                </c:pt>
                <c:pt idx="418">
                  <c:v>45618</c:v>
                </c:pt>
                <c:pt idx="419">
                  <c:v>45617</c:v>
                </c:pt>
                <c:pt idx="420">
                  <c:v>45615</c:v>
                </c:pt>
                <c:pt idx="421">
                  <c:v>45614</c:v>
                </c:pt>
                <c:pt idx="422">
                  <c:v>45610</c:v>
                </c:pt>
                <c:pt idx="423">
                  <c:v>45609</c:v>
                </c:pt>
                <c:pt idx="424">
                  <c:v>45608</c:v>
                </c:pt>
                <c:pt idx="425">
                  <c:v>45607</c:v>
                </c:pt>
                <c:pt idx="426">
                  <c:v>45604</c:v>
                </c:pt>
                <c:pt idx="427">
                  <c:v>45603</c:v>
                </c:pt>
                <c:pt idx="428">
                  <c:v>45602</c:v>
                </c:pt>
                <c:pt idx="429">
                  <c:v>45601</c:v>
                </c:pt>
                <c:pt idx="430">
                  <c:v>45600</c:v>
                </c:pt>
                <c:pt idx="431">
                  <c:v>45597</c:v>
                </c:pt>
                <c:pt idx="432">
                  <c:v>45596</c:v>
                </c:pt>
                <c:pt idx="433">
                  <c:v>45595</c:v>
                </c:pt>
                <c:pt idx="434">
                  <c:v>45594</c:v>
                </c:pt>
                <c:pt idx="435">
                  <c:v>45593</c:v>
                </c:pt>
                <c:pt idx="436">
                  <c:v>45590</c:v>
                </c:pt>
                <c:pt idx="437">
                  <c:v>45589</c:v>
                </c:pt>
                <c:pt idx="438">
                  <c:v>45588</c:v>
                </c:pt>
                <c:pt idx="439">
                  <c:v>45587</c:v>
                </c:pt>
                <c:pt idx="440">
                  <c:v>45586</c:v>
                </c:pt>
                <c:pt idx="441">
                  <c:v>45583</c:v>
                </c:pt>
                <c:pt idx="442">
                  <c:v>45582</c:v>
                </c:pt>
                <c:pt idx="443">
                  <c:v>45581</c:v>
                </c:pt>
                <c:pt idx="444">
                  <c:v>45580</c:v>
                </c:pt>
                <c:pt idx="445">
                  <c:v>45579</c:v>
                </c:pt>
                <c:pt idx="446">
                  <c:v>45576</c:v>
                </c:pt>
                <c:pt idx="447">
                  <c:v>45575</c:v>
                </c:pt>
                <c:pt idx="448">
                  <c:v>45574</c:v>
                </c:pt>
                <c:pt idx="449">
                  <c:v>45573</c:v>
                </c:pt>
                <c:pt idx="450">
                  <c:v>45572</c:v>
                </c:pt>
                <c:pt idx="451">
                  <c:v>45569</c:v>
                </c:pt>
                <c:pt idx="452">
                  <c:v>45568</c:v>
                </c:pt>
                <c:pt idx="453">
                  <c:v>45566</c:v>
                </c:pt>
                <c:pt idx="454">
                  <c:v>45565</c:v>
                </c:pt>
                <c:pt idx="455">
                  <c:v>45562</c:v>
                </c:pt>
                <c:pt idx="456">
                  <c:v>45561</c:v>
                </c:pt>
                <c:pt idx="457">
                  <c:v>45560</c:v>
                </c:pt>
                <c:pt idx="458">
                  <c:v>45559</c:v>
                </c:pt>
                <c:pt idx="459">
                  <c:v>45558</c:v>
                </c:pt>
                <c:pt idx="460">
                  <c:v>45555</c:v>
                </c:pt>
                <c:pt idx="461">
                  <c:v>45554</c:v>
                </c:pt>
                <c:pt idx="462">
                  <c:v>45553</c:v>
                </c:pt>
                <c:pt idx="463">
                  <c:v>45552</c:v>
                </c:pt>
                <c:pt idx="464">
                  <c:v>45551</c:v>
                </c:pt>
                <c:pt idx="465">
                  <c:v>45548</c:v>
                </c:pt>
                <c:pt idx="466">
                  <c:v>45547</c:v>
                </c:pt>
                <c:pt idx="467">
                  <c:v>45546</c:v>
                </c:pt>
                <c:pt idx="468">
                  <c:v>45545</c:v>
                </c:pt>
                <c:pt idx="469">
                  <c:v>45544</c:v>
                </c:pt>
                <c:pt idx="470">
                  <c:v>45541</c:v>
                </c:pt>
                <c:pt idx="471">
                  <c:v>45540</c:v>
                </c:pt>
                <c:pt idx="472">
                  <c:v>45539</c:v>
                </c:pt>
                <c:pt idx="473">
                  <c:v>45538</c:v>
                </c:pt>
                <c:pt idx="474">
                  <c:v>45537</c:v>
                </c:pt>
                <c:pt idx="475">
                  <c:v>45534</c:v>
                </c:pt>
                <c:pt idx="476">
                  <c:v>45533</c:v>
                </c:pt>
                <c:pt idx="477">
                  <c:v>45532</c:v>
                </c:pt>
                <c:pt idx="478">
                  <c:v>45531</c:v>
                </c:pt>
                <c:pt idx="479">
                  <c:v>45530</c:v>
                </c:pt>
                <c:pt idx="480">
                  <c:v>45527</c:v>
                </c:pt>
                <c:pt idx="481">
                  <c:v>45526</c:v>
                </c:pt>
                <c:pt idx="482">
                  <c:v>45525</c:v>
                </c:pt>
                <c:pt idx="483">
                  <c:v>45524</c:v>
                </c:pt>
                <c:pt idx="484">
                  <c:v>45523</c:v>
                </c:pt>
                <c:pt idx="485">
                  <c:v>45520</c:v>
                </c:pt>
                <c:pt idx="486">
                  <c:v>45518</c:v>
                </c:pt>
                <c:pt idx="487">
                  <c:v>45517</c:v>
                </c:pt>
                <c:pt idx="488">
                  <c:v>45516</c:v>
                </c:pt>
                <c:pt idx="489">
                  <c:v>45513</c:v>
                </c:pt>
                <c:pt idx="490">
                  <c:v>45512</c:v>
                </c:pt>
                <c:pt idx="491">
                  <c:v>45511</c:v>
                </c:pt>
                <c:pt idx="492">
                  <c:v>45510</c:v>
                </c:pt>
                <c:pt idx="493">
                  <c:v>45509</c:v>
                </c:pt>
                <c:pt idx="494">
                  <c:v>45506</c:v>
                </c:pt>
                <c:pt idx="495">
                  <c:v>45505</c:v>
                </c:pt>
                <c:pt idx="496">
                  <c:v>45504</c:v>
                </c:pt>
                <c:pt idx="497">
                  <c:v>45503</c:v>
                </c:pt>
                <c:pt idx="498">
                  <c:v>45502</c:v>
                </c:pt>
                <c:pt idx="499">
                  <c:v>45499</c:v>
                </c:pt>
                <c:pt idx="500">
                  <c:v>45498</c:v>
                </c:pt>
                <c:pt idx="501">
                  <c:v>45497</c:v>
                </c:pt>
                <c:pt idx="502">
                  <c:v>45496</c:v>
                </c:pt>
                <c:pt idx="503">
                  <c:v>45495</c:v>
                </c:pt>
                <c:pt idx="504">
                  <c:v>45492</c:v>
                </c:pt>
                <c:pt idx="505">
                  <c:v>45491</c:v>
                </c:pt>
                <c:pt idx="506">
                  <c:v>45489</c:v>
                </c:pt>
                <c:pt idx="507">
                  <c:v>45488</c:v>
                </c:pt>
                <c:pt idx="508">
                  <c:v>45485</c:v>
                </c:pt>
                <c:pt idx="509">
                  <c:v>45484</c:v>
                </c:pt>
                <c:pt idx="510">
                  <c:v>45483</c:v>
                </c:pt>
                <c:pt idx="511">
                  <c:v>45482</c:v>
                </c:pt>
                <c:pt idx="512">
                  <c:v>45481</c:v>
                </c:pt>
                <c:pt idx="513">
                  <c:v>45478</c:v>
                </c:pt>
                <c:pt idx="514">
                  <c:v>45477</c:v>
                </c:pt>
                <c:pt idx="515">
                  <c:v>45476</c:v>
                </c:pt>
                <c:pt idx="516">
                  <c:v>45475</c:v>
                </c:pt>
                <c:pt idx="517">
                  <c:v>45474</c:v>
                </c:pt>
                <c:pt idx="518">
                  <c:v>45471</c:v>
                </c:pt>
                <c:pt idx="519">
                  <c:v>45470</c:v>
                </c:pt>
                <c:pt idx="520">
                  <c:v>45469</c:v>
                </c:pt>
                <c:pt idx="521">
                  <c:v>45468</c:v>
                </c:pt>
                <c:pt idx="522">
                  <c:v>45467</c:v>
                </c:pt>
                <c:pt idx="523">
                  <c:v>45464</c:v>
                </c:pt>
                <c:pt idx="524">
                  <c:v>45463</c:v>
                </c:pt>
                <c:pt idx="525">
                  <c:v>45462</c:v>
                </c:pt>
                <c:pt idx="526">
                  <c:v>45461</c:v>
                </c:pt>
                <c:pt idx="527">
                  <c:v>45457</c:v>
                </c:pt>
                <c:pt idx="528">
                  <c:v>45456</c:v>
                </c:pt>
                <c:pt idx="529">
                  <c:v>45455</c:v>
                </c:pt>
                <c:pt idx="530">
                  <c:v>45454</c:v>
                </c:pt>
                <c:pt idx="531">
                  <c:v>45453</c:v>
                </c:pt>
                <c:pt idx="532">
                  <c:v>45450</c:v>
                </c:pt>
                <c:pt idx="533">
                  <c:v>45449</c:v>
                </c:pt>
                <c:pt idx="534">
                  <c:v>45448</c:v>
                </c:pt>
                <c:pt idx="535">
                  <c:v>45447</c:v>
                </c:pt>
                <c:pt idx="536">
                  <c:v>45446</c:v>
                </c:pt>
                <c:pt idx="537">
                  <c:v>45443</c:v>
                </c:pt>
                <c:pt idx="538">
                  <c:v>45442</c:v>
                </c:pt>
                <c:pt idx="539">
                  <c:v>45441</c:v>
                </c:pt>
                <c:pt idx="540">
                  <c:v>45440</c:v>
                </c:pt>
                <c:pt idx="541">
                  <c:v>45439</c:v>
                </c:pt>
                <c:pt idx="542">
                  <c:v>45436</c:v>
                </c:pt>
                <c:pt idx="543">
                  <c:v>45435</c:v>
                </c:pt>
                <c:pt idx="544">
                  <c:v>45434</c:v>
                </c:pt>
                <c:pt idx="545">
                  <c:v>45433</c:v>
                </c:pt>
                <c:pt idx="546">
                  <c:v>45430</c:v>
                </c:pt>
                <c:pt idx="547">
                  <c:v>45429</c:v>
                </c:pt>
                <c:pt idx="548">
                  <c:v>45428</c:v>
                </c:pt>
                <c:pt idx="549">
                  <c:v>45427</c:v>
                </c:pt>
                <c:pt idx="550">
                  <c:v>45426</c:v>
                </c:pt>
                <c:pt idx="551">
                  <c:v>45425</c:v>
                </c:pt>
                <c:pt idx="552">
                  <c:v>45422</c:v>
                </c:pt>
                <c:pt idx="553">
                  <c:v>45421</c:v>
                </c:pt>
                <c:pt idx="554">
                  <c:v>45420</c:v>
                </c:pt>
                <c:pt idx="555">
                  <c:v>45419</c:v>
                </c:pt>
                <c:pt idx="556">
                  <c:v>45418</c:v>
                </c:pt>
                <c:pt idx="557">
                  <c:v>45415</c:v>
                </c:pt>
                <c:pt idx="558">
                  <c:v>45414</c:v>
                </c:pt>
                <c:pt idx="559">
                  <c:v>45412</c:v>
                </c:pt>
                <c:pt idx="560">
                  <c:v>45411</c:v>
                </c:pt>
                <c:pt idx="561">
                  <c:v>45408</c:v>
                </c:pt>
                <c:pt idx="562">
                  <c:v>45407</c:v>
                </c:pt>
                <c:pt idx="563">
                  <c:v>45406</c:v>
                </c:pt>
                <c:pt idx="564">
                  <c:v>45405</c:v>
                </c:pt>
                <c:pt idx="565">
                  <c:v>45404</c:v>
                </c:pt>
                <c:pt idx="566">
                  <c:v>45401</c:v>
                </c:pt>
                <c:pt idx="567">
                  <c:v>45400</c:v>
                </c:pt>
                <c:pt idx="568">
                  <c:v>45398</c:v>
                </c:pt>
                <c:pt idx="569">
                  <c:v>45397</c:v>
                </c:pt>
                <c:pt idx="570">
                  <c:v>45394</c:v>
                </c:pt>
                <c:pt idx="571">
                  <c:v>45392</c:v>
                </c:pt>
                <c:pt idx="572">
                  <c:v>45391</c:v>
                </c:pt>
                <c:pt idx="573">
                  <c:v>45390</c:v>
                </c:pt>
                <c:pt idx="574">
                  <c:v>45387</c:v>
                </c:pt>
                <c:pt idx="575">
                  <c:v>45386</c:v>
                </c:pt>
                <c:pt idx="576">
                  <c:v>45385</c:v>
                </c:pt>
                <c:pt idx="577">
                  <c:v>45384</c:v>
                </c:pt>
                <c:pt idx="578">
                  <c:v>45383</c:v>
                </c:pt>
                <c:pt idx="579">
                  <c:v>45379</c:v>
                </c:pt>
                <c:pt idx="580">
                  <c:v>45378</c:v>
                </c:pt>
                <c:pt idx="581">
                  <c:v>45377</c:v>
                </c:pt>
                <c:pt idx="582">
                  <c:v>45373</c:v>
                </c:pt>
                <c:pt idx="583">
                  <c:v>45372</c:v>
                </c:pt>
                <c:pt idx="584">
                  <c:v>45371</c:v>
                </c:pt>
                <c:pt idx="585">
                  <c:v>45370</c:v>
                </c:pt>
                <c:pt idx="586">
                  <c:v>45369</c:v>
                </c:pt>
                <c:pt idx="587">
                  <c:v>45366</c:v>
                </c:pt>
                <c:pt idx="588">
                  <c:v>45365</c:v>
                </c:pt>
                <c:pt idx="589">
                  <c:v>45364</c:v>
                </c:pt>
                <c:pt idx="590">
                  <c:v>45363</c:v>
                </c:pt>
                <c:pt idx="591">
                  <c:v>45362</c:v>
                </c:pt>
                <c:pt idx="592">
                  <c:v>45358</c:v>
                </c:pt>
                <c:pt idx="593">
                  <c:v>45357</c:v>
                </c:pt>
                <c:pt idx="594">
                  <c:v>45356</c:v>
                </c:pt>
                <c:pt idx="595">
                  <c:v>45355</c:v>
                </c:pt>
                <c:pt idx="596">
                  <c:v>45353</c:v>
                </c:pt>
                <c:pt idx="597">
                  <c:v>45352</c:v>
                </c:pt>
                <c:pt idx="598">
                  <c:v>45351</c:v>
                </c:pt>
                <c:pt idx="599">
                  <c:v>45350</c:v>
                </c:pt>
                <c:pt idx="600">
                  <c:v>45349</c:v>
                </c:pt>
                <c:pt idx="601">
                  <c:v>45348</c:v>
                </c:pt>
                <c:pt idx="602">
                  <c:v>45345</c:v>
                </c:pt>
                <c:pt idx="603">
                  <c:v>45344</c:v>
                </c:pt>
                <c:pt idx="604">
                  <c:v>45343</c:v>
                </c:pt>
                <c:pt idx="605">
                  <c:v>45342</c:v>
                </c:pt>
                <c:pt idx="606">
                  <c:v>45341</c:v>
                </c:pt>
                <c:pt idx="607">
                  <c:v>45338</c:v>
                </c:pt>
                <c:pt idx="608">
                  <c:v>45337</c:v>
                </c:pt>
                <c:pt idx="609">
                  <c:v>45336</c:v>
                </c:pt>
                <c:pt idx="610">
                  <c:v>45335</c:v>
                </c:pt>
                <c:pt idx="611">
                  <c:v>45334</c:v>
                </c:pt>
                <c:pt idx="612">
                  <c:v>45331</c:v>
                </c:pt>
                <c:pt idx="613">
                  <c:v>45330</c:v>
                </c:pt>
                <c:pt idx="614">
                  <c:v>45329</c:v>
                </c:pt>
                <c:pt idx="615">
                  <c:v>45328</c:v>
                </c:pt>
                <c:pt idx="616">
                  <c:v>45327</c:v>
                </c:pt>
                <c:pt idx="617">
                  <c:v>45324</c:v>
                </c:pt>
                <c:pt idx="618">
                  <c:v>45323</c:v>
                </c:pt>
                <c:pt idx="619">
                  <c:v>45322</c:v>
                </c:pt>
                <c:pt idx="620">
                  <c:v>45321</c:v>
                </c:pt>
                <c:pt idx="621">
                  <c:v>45320</c:v>
                </c:pt>
                <c:pt idx="622">
                  <c:v>45316</c:v>
                </c:pt>
                <c:pt idx="623">
                  <c:v>45315</c:v>
                </c:pt>
                <c:pt idx="624">
                  <c:v>45314</c:v>
                </c:pt>
                <c:pt idx="625">
                  <c:v>45311</c:v>
                </c:pt>
                <c:pt idx="626">
                  <c:v>45310</c:v>
                </c:pt>
                <c:pt idx="627">
                  <c:v>45309</c:v>
                </c:pt>
                <c:pt idx="628">
                  <c:v>45308</c:v>
                </c:pt>
                <c:pt idx="629">
                  <c:v>45307</c:v>
                </c:pt>
                <c:pt idx="630">
                  <c:v>45306</c:v>
                </c:pt>
                <c:pt idx="631">
                  <c:v>45303</c:v>
                </c:pt>
                <c:pt idx="632">
                  <c:v>45302</c:v>
                </c:pt>
                <c:pt idx="633">
                  <c:v>45301</c:v>
                </c:pt>
                <c:pt idx="634">
                  <c:v>45300</c:v>
                </c:pt>
                <c:pt idx="635">
                  <c:v>45299</c:v>
                </c:pt>
                <c:pt idx="636">
                  <c:v>45296</c:v>
                </c:pt>
                <c:pt idx="637">
                  <c:v>45295</c:v>
                </c:pt>
                <c:pt idx="638">
                  <c:v>45294</c:v>
                </c:pt>
                <c:pt idx="639">
                  <c:v>45293</c:v>
                </c:pt>
                <c:pt idx="640">
                  <c:v>45292</c:v>
                </c:pt>
                <c:pt idx="641">
                  <c:v>45289</c:v>
                </c:pt>
                <c:pt idx="642">
                  <c:v>45288</c:v>
                </c:pt>
                <c:pt idx="643">
                  <c:v>45287</c:v>
                </c:pt>
                <c:pt idx="644">
                  <c:v>45286</c:v>
                </c:pt>
                <c:pt idx="645">
                  <c:v>45282</c:v>
                </c:pt>
                <c:pt idx="646">
                  <c:v>45281</c:v>
                </c:pt>
                <c:pt idx="647">
                  <c:v>45280</c:v>
                </c:pt>
                <c:pt idx="648">
                  <c:v>45279</c:v>
                </c:pt>
                <c:pt idx="649">
                  <c:v>45278</c:v>
                </c:pt>
                <c:pt idx="650">
                  <c:v>45275</c:v>
                </c:pt>
                <c:pt idx="651">
                  <c:v>45274</c:v>
                </c:pt>
                <c:pt idx="652">
                  <c:v>45273</c:v>
                </c:pt>
                <c:pt idx="653">
                  <c:v>45272</c:v>
                </c:pt>
                <c:pt idx="654">
                  <c:v>45271</c:v>
                </c:pt>
                <c:pt idx="655">
                  <c:v>45268</c:v>
                </c:pt>
                <c:pt idx="656">
                  <c:v>45267</c:v>
                </c:pt>
                <c:pt idx="657">
                  <c:v>45266</c:v>
                </c:pt>
                <c:pt idx="658">
                  <c:v>45265</c:v>
                </c:pt>
                <c:pt idx="659">
                  <c:v>45264</c:v>
                </c:pt>
                <c:pt idx="660">
                  <c:v>45261</c:v>
                </c:pt>
                <c:pt idx="661">
                  <c:v>45260</c:v>
                </c:pt>
                <c:pt idx="662">
                  <c:v>45259</c:v>
                </c:pt>
                <c:pt idx="663">
                  <c:v>45258</c:v>
                </c:pt>
                <c:pt idx="664">
                  <c:v>45254</c:v>
                </c:pt>
                <c:pt idx="665">
                  <c:v>45253</c:v>
                </c:pt>
                <c:pt idx="666">
                  <c:v>45252</c:v>
                </c:pt>
                <c:pt idx="667">
                  <c:v>45251</c:v>
                </c:pt>
                <c:pt idx="668">
                  <c:v>45250</c:v>
                </c:pt>
                <c:pt idx="669">
                  <c:v>45247</c:v>
                </c:pt>
                <c:pt idx="670">
                  <c:v>45246</c:v>
                </c:pt>
                <c:pt idx="671">
                  <c:v>45245</c:v>
                </c:pt>
                <c:pt idx="672">
                  <c:v>45243</c:v>
                </c:pt>
                <c:pt idx="673">
                  <c:v>45242</c:v>
                </c:pt>
                <c:pt idx="674">
                  <c:v>45240</c:v>
                </c:pt>
                <c:pt idx="675">
                  <c:v>45239</c:v>
                </c:pt>
                <c:pt idx="676">
                  <c:v>45238</c:v>
                </c:pt>
                <c:pt idx="677">
                  <c:v>45237</c:v>
                </c:pt>
                <c:pt idx="678">
                  <c:v>45236</c:v>
                </c:pt>
                <c:pt idx="679">
                  <c:v>45233</c:v>
                </c:pt>
                <c:pt idx="680">
                  <c:v>45232</c:v>
                </c:pt>
                <c:pt idx="681">
                  <c:v>45231</c:v>
                </c:pt>
                <c:pt idx="682">
                  <c:v>45230</c:v>
                </c:pt>
                <c:pt idx="683">
                  <c:v>45229</c:v>
                </c:pt>
                <c:pt idx="684">
                  <c:v>45226</c:v>
                </c:pt>
                <c:pt idx="685">
                  <c:v>45225</c:v>
                </c:pt>
                <c:pt idx="686">
                  <c:v>45224</c:v>
                </c:pt>
                <c:pt idx="687">
                  <c:v>45222</c:v>
                </c:pt>
                <c:pt idx="688">
                  <c:v>45219</c:v>
                </c:pt>
                <c:pt idx="689">
                  <c:v>45218</c:v>
                </c:pt>
                <c:pt idx="690">
                  <c:v>45217</c:v>
                </c:pt>
                <c:pt idx="691">
                  <c:v>45216</c:v>
                </c:pt>
                <c:pt idx="692">
                  <c:v>45215</c:v>
                </c:pt>
                <c:pt idx="693">
                  <c:v>45212</c:v>
                </c:pt>
                <c:pt idx="694">
                  <c:v>45211</c:v>
                </c:pt>
                <c:pt idx="695">
                  <c:v>45210</c:v>
                </c:pt>
                <c:pt idx="696">
                  <c:v>45209</c:v>
                </c:pt>
                <c:pt idx="697">
                  <c:v>45208</c:v>
                </c:pt>
                <c:pt idx="698">
                  <c:v>45205</c:v>
                </c:pt>
                <c:pt idx="699">
                  <c:v>45204</c:v>
                </c:pt>
                <c:pt idx="700">
                  <c:v>45203</c:v>
                </c:pt>
                <c:pt idx="701">
                  <c:v>45202</c:v>
                </c:pt>
                <c:pt idx="702">
                  <c:v>45198</c:v>
                </c:pt>
                <c:pt idx="703">
                  <c:v>45197</c:v>
                </c:pt>
                <c:pt idx="704">
                  <c:v>45196</c:v>
                </c:pt>
                <c:pt idx="705">
                  <c:v>45195</c:v>
                </c:pt>
                <c:pt idx="706">
                  <c:v>45194</c:v>
                </c:pt>
                <c:pt idx="707">
                  <c:v>45191</c:v>
                </c:pt>
                <c:pt idx="708">
                  <c:v>45190</c:v>
                </c:pt>
                <c:pt idx="709">
                  <c:v>45189</c:v>
                </c:pt>
                <c:pt idx="710">
                  <c:v>45187</c:v>
                </c:pt>
                <c:pt idx="711">
                  <c:v>45184</c:v>
                </c:pt>
                <c:pt idx="712">
                  <c:v>45183</c:v>
                </c:pt>
                <c:pt idx="713">
                  <c:v>45182</c:v>
                </c:pt>
                <c:pt idx="714">
                  <c:v>45181</c:v>
                </c:pt>
                <c:pt idx="715">
                  <c:v>45180</c:v>
                </c:pt>
                <c:pt idx="716">
                  <c:v>45177</c:v>
                </c:pt>
                <c:pt idx="717">
                  <c:v>45176</c:v>
                </c:pt>
                <c:pt idx="718">
                  <c:v>45175</c:v>
                </c:pt>
                <c:pt idx="719">
                  <c:v>45174</c:v>
                </c:pt>
                <c:pt idx="720">
                  <c:v>45173</c:v>
                </c:pt>
                <c:pt idx="721">
                  <c:v>45170</c:v>
                </c:pt>
                <c:pt idx="722">
                  <c:v>45169</c:v>
                </c:pt>
                <c:pt idx="723">
                  <c:v>45168</c:v>
                </c:pt>
                <c:pt idx="724">
                  <c:v>45167</c:v>
                </c:pt>
                <c:pt idx="725">
                  <c:v>45166</c:v>
                </c:pt>
                <c:pt idx="726">
                  <c:v>45163</c:v>
                </c:pt>
                <c:pt idx="727">
                  <c:v>45162</c:v>
                </c:pt>
                <c:pt idx="728">
                  <c:v>45161</c:v>
                </c:pt>
                <c:pt idx="729">
                  <c:v>45160</c:v>
                </c:pt>
                <c:pt idx="730">
                  <c:v>45159</c:v>
                </c:pt>
                <c:pt idx="731">
                  <c:v>45156</c:v>
                </c:pt>
                <c:pt idx="732">
                  <c:v>45155</c:v>
                </c:pt>
                <c:pt idx="733">
                  <c:v>45154</c:v>
                </c:pt>
                <c:pt idx="734">
                  <c:v>45152</c:v>
                </c:pt>
                <c:pt idx="735">
                  <c:v>45149</c:v>
                </c:pt>
                <c:pt idx="736">
                  <c:v>45148</c:v>
                </c:pt>
                <c:pt idx="737">
                  <c:v>45147</c:v>
                </c:pt>
                <c:pt idx="738">
                  <c:v>45146</c:v>
                </c:pt>
                <c:pt idx="739">
                  <c:v>45145</c:v>
                </c:pt>
                <c:pt idx="740">
                  <c:v>45142</c:v>
                </c:pt>
                <c:pt idx="741">
                  <c:v>45141</c:v>
                </c:pt>
                <c:pt idx="742">
                  <c:v>45140</c:v>
                </c:pt>
                <c:pt idx="743">
                  <c:v>45139</c:v>
                </c:pt>
                <c:pt idx="744">
                  <c:v>45138</c:v>
                </c:pt>
                <c:pt idx="745">
                  <c:v>45135</c:v>
                </c:pt>
                <c:pt idx="746">
                  <c:v>45134</c:v>
                </c:pt>
                <c:pt idx="747">
                  <c:v>45133</c:v>
                </c:pt>
                <c:pt idx="748">
                  <c:v>45132</c:v>
                </c:pt>
                <c:pt idx="749">
                  <c:v>45131</c:v>
                </c:pt>
                <c:pt idx="750">
                  <c:v>45128</c:v>
                </c:pt>
                <c:pt idx="751">
                  <c:v>45127</c:v>
                </c:pt>
                <c:pt idx="752">
                  <c:v>45126</c:v>
                </c:pt>
                <c:pt idx="753">
                  <c:v>45125</c:v>
                </c:pt>
                <c:pt idx="754">
                  <c:v>45124</c:v>
                </c:pt>
                <c:pt idx="755">
                  <c:v>45121</c:v>
                </c:pt>
                <c:pt idx="756">
                  <c:v>45120</c:v>
                </c:pt>
                <c:pt idx="757">
                  <c:v>45119</c:v>
                </c:pt>
                <c:pt idx="758">
                  <c:v>45118</c:v>
                </c:pt>
                <c:pt idx="759">
                  <c:v>45117</c:v>
                </c:pt>
                <c:pt idx="760">
                  <c:v>45114</c:v>
                </c:pt>
                <c:pt idx="761">
                  <c:v>45113</c:v>
                </c:pt>
                <c:pt idx="762">
                  <c:v>45112</c:v>
                </c:pt>
                <c:pt idx="763">
                  <c:v>45111</c:v>
                </c:pt>
                <c:pt idx="764">
                  <c:v>45110</c:v>
                </c:pt>
                <c:pt idx="765">
                  <c:v>45107</c:v>
                </c:pt>
                <c:pt idx="766">
                  <c:v>45105</c:v>
                </c:pt>
                <c:pt idx="767">
                  <c:v>45104</c:v>
                </c:pt>
                <c:pt idx="768">
                  <c:v>45103</c:v>
                </c:pt>
                <c:pt idx="769">
                  <c:v>45100</c:v>
                </c:pt>
                <c:pt idx="770">
                  <c:v>45099</c:v>
                </c:pt>
                <c:pt idx="771">
                  <c:v>45098</c:v>
                </c:pt>
                <c:pt idx="772">
                  <c:v>45097</c:v>
                </c:pt>
                <c:pt idx="773">
                  <c:v>45096</c:v>
                </c:pt>
                <c:pt idx="774">
                  <c:v>45093</c:v>
                </c:pt>
                <c:pt idx="775">
                  <c:v>45092</c:v>
                </c:pt>
                <c:pt idx="776">
                  <c:v>45091</c:v>
                </c:pt>
                <c:pt idx="777">
                  <c:v>45090</c:v>
                </c:pt>
                <c:pt idx="778">
                  <c:v>45089</c:v>
                </c:pt>
                <c:pt idx="779">
                  <c:v>45086</c:v>
                </c:pt>
                <c:pt idx="780">
                  <c:v>45085</c:v>
                </c:pt>
                <c:pt idx="781">
                  <c:v>45084</c:v>
                </c:pt>
                <c:pt idx="782">
                  <c:v>45083</c:v>
                </c:pt>
                <c:pt idx="783">
                  <c:v>45082</c:v>
                </c:pt>
                <c:pt idx="784">
                  <c:v>45079</c:v>
                </c:pt>
                <c:pt idx="785">
                  <c:v>45078</c:v>
                </c:pt>
                <c:pt idx="786">
                  <c:v>45077</c:v>
                </c:pt>
                <c:pt idx="787">
                  <c:v>45076</c:v>
                </c:pt>
                <c:pt idx="788">
                  <c:v>45075</c:v>
                </c:pt>
                <c:pt idx="789">
                  <c:v>45072</c:v>
                </c:pt>
                <c:pt idx="790">
                  <c:v>45071</c:v>
                </c:pt>
                <c:pt idx="791">
                  <c:v>45070</c:v>
                </c:pt>
                <c:pt idx="792">
                  <c:v>45069</c:v>
                </c:pt>
                <c:pt idx="793">
                  <c:v>45068</c:v>
                </c:pt>
                <c:pt idx="794">
                  <c:v>45065</c:v>
                </c:pt>
                <c:pt idx="795">
                  <c:v>45064</c:v>
                </c:pt>
                <c:pt idx="796">
                  <c:v>45063</c:v>
                </c:pt>
                <c:pt idx="797">
                  <c:v>45062</c:v>
                </c:pt>
                <c:pt idx="798">
                  <c:v>45061</c:v>
                </c:pt>
                <c:pt idx="799">
                  <c:v>45058</c:v>
                </c:pt>
                <c:pt idx="800">
                  <c:v>45057</c:v>
                </c:pt>
                <c:pt idx="801">
                  <c:v>45056</c:v>
                </c:pt>
                <c:pt idx="802">
                  <c:v>45055</c:v>
                </c:pt>
                <c:pt idx="803">
                  <c:v>45054</c:v>
                </c:pt>
                <c:pt idx="804">
                  <c:v>45051</c:v>
                </c:pt>
                <c:pt idx="805">
                  <c:v>45050</c:v>
                </c:pt>
                <c:pt idx="806">
                  <c:v>45049</c:v>
                </c:pt>
                <c:pt idx="807">
                  <c:v>45048</c:v>
                </c:pt>
                <c:pt idx="808">
                  <c:v>45044</c:v>
                </c:pt>
                <c:pt idx="809">
                  <c:v>45043</c:v>
                </c:pt>
                <c:pt idx="810">
                  <c:v>45042</c:v>
                </c:pt>
                <c:pt idx="811">
                  <c:v>45041</c:v>
                </c:pt>
                <c:pt idx="812">
                  <c:v>45040</c:v>
                </c:pt>
                <c:pt idx="813">
                  <c:v>45037</c:v>
                </c:pt>
                <c:pt idx="814">
                  <c:v>45036</c:v>
                </c:pt>
                <c:pt idx="815">
                  <c:v>45035</c:v>
                </c:pt>
                <c:pt idx="816">
                  <c:v>45034</c:v>
                </c:pt>
                <c:pt idx="817">
                  <c:v>45033</c:v>
                </c:pt>
                <c:pt idx="818">
                  <c:v>45029</c:v>
                </c:pt>
                <c:pt idx="819">
                  <c:v>45028</c:v>
                </c:pt>
                <c:pt idx="820">
                  <c:v>45027</c:v>
                </c:pt>
                <c:pt idx="821">
                  <c:v>45026</c:v>
                </c:pt>
                <c:pt idx="822">
                  <c:v>45022</c:v>
                </c:pt>
                <c:pt idx="823">
                  <c:v>45021</c:v>
                </c:pt>
                <c:pt idx="824">
                  <c:v>45019</c:v>
                </c:pt>
                <c:pt idx="825">
                  <c:v>45016</c:v>
                </c:pt>
                <c:pt idx="826">
                  <c:v>45014</c:v>
                </c:pt>
                <c:pt idx="827">
                  <c:v>45013</c:v>
                </c:pt>
                <c:pt idx="828">
                  <c:v>45012</c:v>
                </c:pt>
                <c:pt idx="829">
                  <c:v>45009</c:v>
                </c:pt>
                <c:pt idx="830">
                  <c:v>45008</c:v>
                </c:pt>
                <c:pt idx="831">
                  <c:v>45007</c:v>
                </c:pt>
                <c:pt idx="832">
                  <c:v>45006</c:v>
                </c:pt>
                <c:pt idx="833">
                  <c:v>45005</c:v>
                </c:pt>
                <c:pt idx="834">
                  <c:v>45002</c:v>
                </c:pt>
                <c:pt idx="835">
                  <c:v>45001</c:v>
                </c:pt>
                <c:pt idx="836">
                  <c:v>45000</c:v>
                </c:pt>
                <c:pt idx="837">
                  <c:v>44999</c:v>
                </c:pt>
                <c:pt idx="838">
                  <c:v>44998</c:v>
                </c:pt>
                <c:pt idx="839">
                  <c:v>44995</c:v>
                </c:pt>
                <c:pt idx="840">
                  <c:v>44994</c:v>
                </c:pt>
                <c:pt idx="841">
                  <c:v>44993</c:v>
                </c:pt>
                <c:pt idx="842">
                  <c:v>44991</c:v>
                </c:pt>
                <c:pt idx="843">
                  <c:v>44988</c:v>
                </c:pt>
                <c:pt idx="844">
                  <c:v>44987</c:v>
                </c:pt>
                <c:pt idx="845">
                  <c:v>44986</c:v>
                </c:pt>
                <c:pt idx="846">
                  <c:v>44985</c:v>
                </c:pt>
                <c:pt idx="847">
                  <c:v>44984</c:v>
                </c:pt>
                <c:pt idx="848">
                  <c:v>44981</c:v>
                </c:pt>
                <c:pt idx="849">
                  <c:v>44980</c:v>
                </c:pt>
                <c:pt idx="850">
                  <c:v>44979</c:v>
                </c:pt>
                <c:pt idx="851">
                  <c:v>44978</c:v>
                </c:pt>
                <c:pt idx="852">
                  <c:v>44977</c:v>
                </c:pt>
                <c:pt idx="853">
                  <c:v>44974</c:v>
                </c:pt>
                <c:pt idx="854">
                  <c:v>44973</c:v>
                </c:pt>
                <c:pt idx="855">
                  <c:v>44972</c:v>
                </c:pt>
                <c:pt idx="856">
                  <c:v>44971</c:v>
                </c:pt>
                <c:pt idx="857">
                  <c:v>44970</c:v>
                </c:pt>
                <c:pt idx="858">
                  <c:v>44967</c:v>
                </c:pt>
                <c:pt idx="859">
                  <c:v>44966</c:v>
                </c:pt>
                <c:pt idx="860">
                  <c:v>44965</c:v>
                </c:pt>
                <c:pt idx="861">
                  <c:v>44964</c:v>
                </c:pt>
                <c:pt idx="862">
                  <c:v>44963</c:v>
                </c:pt>
                <c:pt idx="863">
                  <c:v>44960</c:v>
                </c:pt>
                <c:pt idx="864">
                  <c:v>44959</c:v>
                </c:pt>
                <c:pt idx="865">
                  <c:v>44958</c:v>
                </c:pt>
                <c:pt idx="866">
                  <c:v>44957</c:v>
                </c:pt>
                <c:pt idx="867">
                  <c:v>44956</c:v>
                </c:pt>
                <c:pt idx="868">
                  <c:v>44953</c:v>
                </c:pt>
                <c:pt idx="869">
                  <c:v>44951</c:v>
                </c:pt>
                <c:pt idx="870">
                  <c:v>44950</c:v>
                </c:pt>
                <c:pt idx="871">
                  <c:v>44949</c:v>
                </c:pt>
                <c:pt idx="872">
                  <c:v>44946</c:v>
                </c:pt>
                <c:pt idx="873">
                  <c:v>44945</c:v>
                </c:pt>
                <c:pt idx="874">
                  <c:v>44944</c:v>
                </c:pt>
                <c:pt idx="875">
                  <c:v>44943</c:v>
                </c:pt>
                <c:pt idx="876">
                  <c:v>44942</c:v>
                </c:pt>
                <c:pt idx="877">
                  <c:v>44939</c:v>
                </c:pt>
                <c:pt idx="878">
                  <c:v>44938</c:v>
                </c:pt>
                <c:pt idx="879">
                  <c:v>44937</c:v>
                </c:pt>
                <c:pt idx="880">
                  <c:v>44936</c:v>
                </c:pt>
                <c:pt idx="881">
                  <c:v>44935</c:v>
                </c:pt>
                <c:pt idx="882">
                  <c:v>44932</c:v>
                </c:pt>
                <c:pt idx="883">
                  <c:v>44931</c:v>
                </c:pt>
                <c:pt idx="884">
                  <c:v>44930</c:v>
                </c:pt>
                <c:pt idx="885">
                  <c:v>44929</c:v>
                </c:pt>
                <c:pt idx="886">
                  <c:v>44928</c:v>
                </c:pt>
                <c:pt idx="887">
                  <c:v>44925</c:v>
                </c:pt>
                <c:pt idx="888">
                  <c:v>44924</c:v>
                </c:pt>
                <c:pt idx="889">
                  <c:v>44923</c:v>
                </c:pt>
                <c:pt idx="890">
                  <c:v>44922</c:v>
                </c:pt>
                <c:pt idx="891">
                  <c:v>44921</c:v>
                </c:pt>
                <c:pt idx="892">
                  <c:v>44918</c:v>
                </c:pt>
                <c:pt idx="893">
                  <c:v>44917</c:v>
                </c:pt>
                <c:pt idx="894">
                  <c:v>44916</c:v>
                </c:pt>
                <c:pt idx="895">
                  <c:v>44915</c:v>
                </c:pt>
                <c:pt idx="896">
                  <c:v>44914</c:v>
                </c:pt>
                <c:pt idx="897">
                  <c:v>44911</c:v>
                </c:pt>
                <c:pt idx="898">
                  <c:v>44910</c:v>
                </c:pt>
                <c:pt idx="899">
                  <c:v>44909</c:v>
                </c:pt>
                <c:pt idx="900">
                  <c:v>44908</c:v>
                </c:pt>
                <c:pt idx="901">
                  <c:v>44907</c:v>
                </c:pt>
                <c:pt idx="902">
                  <c:v>44904</c:v>
                </c:pt>
                <c:pt idx="903">
                  <c:v>44903</c:v>
                </c:pt>
                <c:pt idx="904">
                  <c:v>44902</c:v>
                </c:pt>
                <c:pt idx="905">
                  <c:v>44901</c:v>
                </c:pt>
                <c:pt idx="906">
                  <c:v>44900</c:v>
                </c:pt>
                <c:pt idx="907">
                  <c:v>44897</c:v>
                </c:pt>
                <c:pt idx="908">
                  <c:v>44896</c:v>
                </c:pt>
                <c:pt idx="909">
                  <c:v>44895</c:v>
                </c:pt>
                <c:pt idx="910">
                  <c:v>44894</c:v>
                </c:pt>
                <c:pt idx="911">
                  <c:v>44893</c:v>
                </c:pt>
                <c:pt idx="912">
                  <c:v>44890</c:v>
                </c:pt>
                <c:pt idx="913">
                  <c:v>44889</c:v>
                </c:pt>
                <c:pt idx="914">
                  <c:v>44888</c:v>
                </c:pt>
                <c:pt idx="915">
                  <c:v>44887</c:v>
                </c:pt>
                <c:pt idx="916">
                  <c:v>44886</c:v>
                </c:pt>
                <c:pt idx="917">
                  <c:v>44883</c:v>
                </c:pt>
                <c:pt idx="918">
                  <c:v>44882</c:v>
                </c:pt>
                <c:pt idx="919">
                  <c:v>44881</c:v>
                </c:pt>
                <c:pt idx="920">
                  <c:v>44880</c:v>
                </c:pt>
                <c:pt idx="921">
                  <c:v>44879</c:v>
                </c:pt>
                <c:pt idx="922">
                  <c:v>44876</c:v>
                </c:pt>
                <c:pt idx="923">
                  <c:v>44875</c:v>
                </c:pt>
                <c:pt idx="924">
                  <c:v>44874</c:v>
                </c:pt>
                <c:pt idx="925">
                  <c:v>44872</c:v>
                </c:pt>
                <c:pt idx="926">
                  <c:v>44869</c:v>
                </c:pt>
                <c:pt idx="927">
                  <c:v>44868</c:v>
                </c:pt>
                <c:pt idx="928">
                  <c:v>44867</c:v>
                </c:pt>
                <c:pt idx="929">
                  <c:v>44866</c:v>
                </c:pt>
                <c:pt idx="930">
                  <c:v>44865</c:v>
                </c:pt>
                <c:pt idx="931">
                  <c:v>44862</c:v>
                </c:pt>
                <c:pt idx="932">
                  <c:v>44861</c:v>
                </c:pt>
                <c:pt idx="933">
                  <c:v>44859</c:v>
                </c:pt>
                <c:pt idx="934">
                  <c:v>44858</c:v>
                </c:pt>
                <c:pt idx="935">
                  <c:v>44855</c:v>
                </c:pt>
                <c:pt idx="936">
                  <c:v>44854</c:v>
                </c:pt>
                <c:pt idx="937">
                  <c:v>44853</c:v>
                </c:pt>
                <c:pt idx="938">
                  <c:v>44852</c:v>
                </c:pt>
                <c:pt idx="939">
                  <c:v>44851</c:v>
                </c:pt>
                <c:pt idx="940">
                  <c:v>44848</c:v>
                </c:pt>
                <c:pt idx="941">
                  <c:v>44847</c:v>
                </c:pt>
                <c:pt idx="942">
                  <c:v>44846</c:v>
                </c:pt>
                <c:pt idx="943">
                  <c:v>44845</c:v>
                </c:pt>
                <c:pt idx="944">
                  <c:v>44844</c:v>
                </c:pt>
                <c:pt idx="945">
                  <c:v>44841</c:v>
                </c:pt>
                <c:pt idx="946">
                  <c:v>44840</c:v>
                </c:pt>
                <c:pt idx="947">
                  <c:v>44838</c:v>
                </c:pt>
                <c:pt idx="948">
                  <c:v>44837</c:v>
                </c:pt>
                <c:pt idx="949">
                  <c:v>44834</c:v>
                </c:pt>
                <c:pt idx="950">
                  <c:v>44833</c:v>
                </c:pt>
                <c:pt idx="951">
                  <c:v>44832</c:v>
                </c:pt>
                <c:pt idx="952">
                  <c:v>44831</c:v>
                </c:pt>
                <c:pt idx="953">
                  <c:v>44830</c:v>
                </c:pt>
                <c:pt idx="954">
                  <c:v>44827</c:v>
                </c:pt>
                <c:pt idx="955">
                  <c:v>44826</c:v>
                </c:pt>
                <c:pt idx="956">
                  <c:v>44825</c:v>
                </c:pt>
                <c:pt idx="957">
                  <c:v>44824</c:v>
                </c:pt>
                <c:pt idx="958">
                  <c:v>44823</c:v>
                </c:pt>
                <c:pt idx="959">
                  <c:v>44820</c:v>
                </c:pt>
                <c:pt idx="960">
                  <c:v>44819</c:v>
                </c:pt>
                <c:pt idx="961">
                  <c:v>44818</c:v>
                </c:pt>
                <c:pt idx="962">
                  <c:v>44817</c:v>
                </c:pt>
                <c:pt idx="963">
                  <c:v>44816</c:v>
                </c:pt>
                <c:pt idx="964">
                  <c:v>44813</c:v>
                </c:pt>
                <c:pt idx="965">
                  <c:v>44812</c:v>
                </c:pt>
                <c:pt idx="966">
                  <c:v>44811</c:v>
                </c:pt>
                <c:pt idx="967">
                  <c:v>44810</c:v>
                </c:pt>
                <c:pt idx="968">
                  <c:v>44809</c:v>
                </c:pt>
                <c:pt idx="969">
                  <c:v>44806</c:v>
                </c:pt>
                <c:pt idx="970">
                  <c:v>44805</c:v>
                </c:pt>
                <c:pt idx="971">
                  <c:v>44803</c:v>
                </c:pt>
                <c:pt idx="972">
                  <c:v>44802</c:v>
                </c:pt>
                <c:pt idx="973">
                  <c:v>44799</c:v>
                </c:pt>
                <c:pt idx="974">
                  <c:v>44798</c:v>
                </c:pt>
                <c:pt idx="975">
                  <c:v>44797</c:v>
                </c:pt>
                <c:pt idx="976">
                  <c:v>44796</c:v>
                </c:pt>
                <c:pt idx="977">
                  <c:v>44795</c:v>
                </c:pt>
                <c:pt idx="978">
                  <c:v>44792</c:v>
                </c:pt>
                <c:pt idx="979">
                  <c:v>44791</c:v>
                </c:pt>
                <c:pt idx="980">
                  <c:v>44790</c:v>
                </c:pt>
                <c:pt idx="981">
                  <c:v>44789</c:v>
                </c:pt>
                <c:pt idx="982">
                  <c:v>44785</c:v>
                </c:pt>
                <c:pt idx="983">
                  <c:v>44784</c:v>
                </c:pt>
                <c:pt idx="984">
                  <c:v>44783</c:v>
                </c:pt>
                <c:pt idx="985">
                  <c:v>44781</c:v>
                </c:pt>
                <c:pt idx="986">
                  <c:v>44778</c:v>
                </c:pt>
                <c:pt idx="987">
                  <c:v>44777</c:v>
                </c:pt>
                <c:pt idx="988">
                  <c:v>44776</c:v>
                </c:pt>
                <c:pt idx="989">
                  <c:v>44775</c:v>
                </c:pt>
              </c:numCache>
            </c:numRef>
          </c:cat>
          <c:val>
            <c:numRef>
              <c:f>Sheet3!$B$2:$B$991</c:f>
              <c:numCache>
                <c:formatCode>General</c:formatCode>
                <c:ptCount val="990"/>
                <c:pt idx="0">
                  <c:v>189.69</c:v>
                </c:pt>
                <c:pt idx="1">
                  <c:v>186.92</c:v>
                </c:pt>
                <c:pt idx="2">
                  <c:v>187.27</c:v>
                </c:pt>
                <c:pt idx="3">
                  <c:v>182.63</c:v>
                </c:pt>
                <c:pt idx="4">
                  <c:v>184.25</c:v>
                </c:pt>
                <c:pt idx="5">
                  <c:v>182.67</c:v>
                </c:pt>
                <c:pt idx="6">
                  <c:v>184.23</c:v>
                </c:pt>
                <c:pt idx="7">
                  <c:v>186.53</c:v>
                </c:pt>
                <c:pt idx="8">
                  <c:v>187.24</c:v>
                </c:pt>
                <c:pt idx="9">
                  <c:v>186.41</c:v>
                </c:pt>
                <c:pt idx="10">
                  <c:v>185.89</c:v>
                </c:pt>
                <c:pt idx="11">
                  <c:v>185.49</c:v>
                </c:pt>
                <c:pt idx="12">
                  <c:v>185.26</c:v>
                </c:pt>
                <c:pt idx="13">
                  <c:v>188.27</c:v>
                </c:pt>
                <c:pt idx="14">
                  <c:v>187.11</c:v>
                </c:pt>
                <c:pt idx="15">
                  <c:v>191.19</c:v>
                </c:pt>
                <c:pt idx="16">
                  <c:v>187.91</c:v>
                </c:pt>
                <c:pt idx="17">
                  <c:v>188.2</c:v>
                </c:pt>
                <c:pt idx="18">
                  <c:v>189.79</c:v>
                </c:pt>
                <c:pt idx="19">
                  <c:v>190.87</c:v>
                </c:pt>
                <c:pt idx="20">
                  <c:v>189.8</c:v>
                </c:pt>
                <c:pt idx="21">
                  <c:v>187.67</c:v>
                </c:pt>
                <c:pt idx="22">
                  <c:v>185.17</c:v>
                </c:pt>
                <c:pt idx="23">
                  <c:v>188.06</c:v>
                </c:pt>
                <c:pt idx="24">
                  <c:v>189.57</c:v>
                </c:pt>
                <c:pt idx="25">
                  <c:v>188.71</c:v>
                </c:pt>
                <c:pt idx="26">
                  <c:v>190.16</c:v>
                </c:pt>
                <c:pt idx="27">
                  <c:v>193.56</c:v>
                </c:pt>
                <c:pt idx="28">
                  <c:v>198.97</c:v>
                </c:pt>
                <c:pt idx="29">
                  <c:v>198.96</c:v>
                </c:pt>
                <c:pt idx="30">
                  <c:v>200.52</c:v>
                </c:pt>
                <c:pt idx="31">
                  <c:v>199.01</c:v>
                </c:pt>
                <c:pt idx="32">
                  <c:v>196</c:v>
                </c:pt>
                <c:pt idx="33">
                  <c:v>197.28</c:v>
                </c:pt>
                <c:pt idx="34">
                  <c:v>197.86</c:v>
                </c:pt>
                <c:pt idx="35">
                  <c:v>197.96</c:v>
                </c:pt>
                <c:pt idx="36">
                  <c:v>199.31</c:v>
                </c:pt>
                <c:pt idx="37">
                  <c:v>203.18</c:v>
                </c:pt>
                <c:pt idx="38">
                  <c:v>202.72</c:v>
                </c:pt>
                <c:pt idx="39">
                  <c:v>206.77</c:v>
                </c:pt>
                <c:pt idx="40">
                  <c:v>210.57</c:v>
                </c:pt>
                <c:pt idx="41">
                  <c:v>211.89</c:v>
                </c:pt>
                <c:pt idx="42">
                  <c:v>210.6</c:v>
                </c:pt>
                <c:pt idx="43">
                  <c:v>210.57</c:v>
                </c:pt>
                <c:pt idx="44">
                  <c:v>208.02</c:v>
                </c:pt>
                <c:pt idx="45">
                  <c:v>214.7</c:v>
                </c:pt>
                <c:pt idx="46">
                  <c:v>210.47</c:v>
                </c:pt>
                <c:pt idx="47">
                  <c:v>210.22</c:v>
                </c:pt>
                <c:pt idx="48">
                  <c:v>209.19</c:v>
                </c:pt>
                <c:pt idx="49">
                  <c:v>208.58</c:v>
                </c:pt>
                <c:pt idx="50">
                  <c:v>207.01</c:v>
                </c:pt>
                <c:pt idx="51">
                  <c:v>209.29</c:v>
                </c:pt>
                <c:pt idx="52">
                  <c:v>209.71</c:v>
                </c:pt>
                <c:pt idx="53">
                  <c:v>216.84</c:v>
                </c:pt>
                <c:pt idx="54">
                  <c:v>221.13</c:v>
                </c:pt>
                <c:pt idx="55">
                  <c:v>219.62</c:v>
                </c:pt>
                <c:pt idx="56">
                  <c:v>212</c:v>
                </c:pt>
                <c:pt idx="57">
                  <c:v>212.08</c:v>
                </c:pt>
                <c:pt idx="58">
                  <c:v>214.49</c:v>
                </c:pt>
                <c:pt idx="59">
                  <c:v>217.09</c:v>
                </c:pt>
                <c:pt idx="60">
                  <c:v>215.47</c:v>
                </c:pt>
                <c:pt idx="61">
                  <c:v>211.32</c:v>
                </c:pt>
                <c:pt idx="62">
                  <c:v>212.24</c:v>
                </c:pt>
                <c:pt idx="63">
                  <c:v>211.36</c:v>
                </c:pt>
                <c:pt idx="64">
                  <c:v>215.88</c:v>
                </c:pt>
                <c:pt idx="65">
                  <c:v>215.05</c:v>
                </c:pt>
                <c:pt idx="66">
                  <c:v>213.27</c:v>
                </c:pt>
                <c:pt idx="67">
                  <c:v>210.07</c:v>
                </c:pt>
                <c:pt idx="68">
                  <c:v>210.91</c:v>
                </c:pt>
                <c:pt idx="69">
                  <c:v>213.03</c:v>
                </c:pt>
                <c:pt idx="70">
                  <c:v>212.01</c:v>
                </c:pt>
                <c:pt idx="71">
                  <c:v>211.72</c:v>
                </c:pt>
                <c:pt idx="72">
                  <c:v>212.12</c:v>
                </c:pt>
                <c:pt idx="73">
                  <c:v>210.69</c:v>
                </c:pt>
                <c:pt idx="74">
                  <c:v>208.72</c:v>
                </c:pt>
                <c:pt idx="75">
                  <c:v>206.39</c:v>
                </c:pt>
                <c:pt idx="76">
                  <c:v>206.61</c:v>
                </c:pt>
                <c:pt idx="77">
                  <c:v>205.2</c:v>
                </c:pt>
                <c:pt idx="78">
                  <c:v>204.18</c:v>
                </c:pt>
                <c:pt idx="79">
                  <c:v>198.13</c:v>
                </c:pt>
                <c:pt idx="80">
                  <c:v>196.1</c:v>
                </c:pt>
                <c:pt idx="81">
                  <c:v>194.14</c:v>
                </c:pt>
                <c:pt idx="82">
                  <c:v>194.6</c:v>
                </c:pt>
                <c:pt idx="83">
                  <c:v>191.86</c:v>
                </c:pt>
                <c:pt idx="84">
                  <c:v>193.22</c:v>
                </c:pt>
                <c:pt idx="85">
                  <c:v>196.65</c:v>
                </c:pt>
                <c:pt idx="86">
                  <c:v>190.79</c:v>
                </c:pt>
                <c:pt idx="87">
                  <c:v>187.17</c:v>
                </c:pt>
                <c:pt idx="88">
                  <c:v>196.77</c:v>
                </c:pt>
                <c:pt idx="89">
                  <c:v>190.51</c:v>
                </c:pt>
                <c:pt idx="90">
                  <c:v>195.41</c:v>
                </c:pt>
                <c:pt idx="91">
                  <c:v>195.43</c:v>
                </c:pt>
                <c:pt idx="92">
                  <c:v>186.94</c:v>
                </c:pt>
                <c:pt idx="93">
                  <c:v>183.51</c:v>
                </c:pt>
                <c:pt idx="94">
                  <c:v>193.47</c:v>
                </c:pt>
                <c:pt idx="95">
                  <c:v>194.74</c:v>
                </c:pt>
                <c:pt idx="96">
                  <c:v>195</c:v>
                </c:pt>
                <c:pt idx="97">
                  <c:v>191.01</c:v>
                </c:pt>
                <c:pt idx="98">
                  <c:v>198.46</c:v>
                </c:pt>
                <c:pt idx="99">
                  <c:v>200.57</c:v>
                </c:pt>
                <c:pt idx="100">
                  <c:v>196.73</c:v>
                </c:pt>
                <c:pt idx="101">
                  <c:v>211.01</c:v>
                </c:pt>
                <c:pt idx="102">
                  <c:v>212.33</c:v>
                </c:pt>
                <c:pt idx="103">
                  <c:v>215.52</c:v>
                </c:pt>
                <c:pt idx="104">
                  <c:v>214.64</c:v>
                </c:pt>
                <c:pt idx="105">
                  <c:v>209.13</c:v>
                </c:pt>
                <c:pt idx="106">
                  <c:v>208.14</c:v>
                </c:pt>
                <c:pt idx="107">
                  <c:v>208.36</c:v>
                </c:pt>
                <c:pt idx="108">
                  <c:v>205.41</c:v>
                </c:pt>
                <c:pt idx="109">
                  <c:v>209.03</c:v>
                </c:pt>
                <c:pt idx="110">
                  <c:v>203.08</c:v>
                </c:pt>
                <c:pt idx="111">
                  <c:v>205.81</c:v>
                </c:pt>
                <c:pt idx="112">
                  <c:v>203.18</c:v>
                </c:pt>
                <c:pt idx="113">
                  <c:v>208.11</c:v>
                </c:pt>
                <c:pt idx="114">
                  <c:v>207.59</c:v>
                </c:pt>
                <c:pt idx="115">
                  <c:v>208.01</c:v>
                </c:pt>
                <c:pt idx="116">
                  <c:v>202</c:v>
                </c:pt>
                <c:pt idx="117">
                  <c:v>197.06</c:v>
                </c:pt>
                <c:pt idx="118">
                  <c:v>197.76</c:v>
                </c:pt>
                <c:pt idx="119">
                  <c:v>195.4</c:v>
                </c:pt>
                <c:pt idx="120">
                  <c:v>192.93</c:v>
                </c:pt>
                <c:pt idx="121">
                  <c:v>188.51</c:v>
                </c:pt>
                <c:pt idx="122">
                  <c:v>185.38</c:v>
                </c:pt>
                <c:pt idx="123">
                  <c:v>193.13</c:v>
                </c:pt>
                <c:pt idx="124">
                  <c:v>202.32</c:v>
                </c:pt>
                <c:pt idx="125">
                  <c:v>193.85</c:v>
                </c:pt>
                <c:pt idx="126">
                  <c:v>192.28</c:v>
                </c:pt>
                <c:pt idx="127">
                  <c:v>187.61</c:v>
                </c:pt>
                <c:pt idx="128">
                  <c:v>189.1</c:v>
                </c:pt>
                <c:pt idx="129">
                  <c:v>184.41</c:v>
                </c:pt>
                <c:pt idx="130">
                  <c:v>183.56</c:v>
                </c:pt>
                <c:pt idx="131">
                  <c:v>188.27</c:v>
                </c:pt>
                <c:pt idx="132">
                  <c:v>188.21</c:v>
                </c:pt>
                <c:pt idx="133">
                  <c:v>189.25</c:v>
                </c:pt>
                <c:pt idx="134">
                  <c:v>182.57</c:v>
                </c:pt>
                <c:pt idx="135">
                  <c:v>183.24</c:v>
                </c:pt>
                <c:pt idx="136">
                  <c:v>178.4</c:v>
                </c:pt>
                <c:pt idx="137">
                  <c:v>180.12</c:v>
                </c:pt>
                <c:pt idx="138">
                  <c:v>183.8</c:v>
                </c:pt>
                <c:pt idx="139">
                  <c:v>186.2</c:v>
                </c:pt>
                <c:pt idx="140">
                  <c:v>185.72</c:v>
                </c:pt>
                <c:pt idx="141">
                  <c:v>182.88</c:v>
                </c:pt>
                <c:pt idx="142">
                  <c:v>181.89</c:v>
                </c:pt>
                <c:pt idx="143">
                  <c:v>180.08</c:v>
                </c:pt>
                <c:pt idx="144">
                  <c:v>175.8</c:v>
                </c:pt>
                <c:pt idx="145">
                  <c:v>172.3</c:v>
                </c:pt>
                <c:pt idx="146">
                  <c:v>169.12</c:v>
                </c:pt>
                <c:pt idx="147">
                  <c:v>170.07</c:v>
                </c:pt>
                <c:pt idx="148">
                  <c:v>170.9</c:v>
                </c:pt>
                <c:pt idx="149">
                  <c:v>169.22</c:v>
                </c:pt>
                <c:pt idx="150">
                  <c:v>168.69</c:v>
                </c:pt>
                <c:pt idx="151">
                  <c:v>168.12</c:v>
                </c:pt>
                <c:pt idx="152">
                  <c:v>170.34</c:v>
                </c:pt>
                <c:pt idx="153">
                  <c:v>169.83</c:v>
                </c:pt>
                <c:pt idx="154">
                  <c:v>172.87</c:v>
                </c:pt>
                <c:pt idx="155">
                  <c:v>171.89</c:v>
                </c:pt>
                <c:pt idx="156">
                  <c:v>166.38</c:v>
                </c:pt>
                <c:pt idx="157">
                  <c:v>162.22999999999999</c:v>
                </c:pt>
                <c:pt idx="158">
                  <c:v>160.66999999999999</c:v>
                </c:pt>
                <c:pt idx="159">
                  <c:v>163.47</c:v>
                </c:pt>
                <c:pt idx="160">
                  <c:v>167.11</c:v>
                </c:pt>
                <c:pt idx="161">
                  <c:v>166.77</c:v>
                </c:pt>
                <c:pt idx="162">
                  <c:v>166.92</c:v>
                </c:pt>
                <c:pt idx="163">
                  <c:v>167.78</c:v>
                </c:pt>
                <c:pt idx="164">
                  <c:v>168.63</c:v>
                </c:pt>
                <c:pt idx="165">
                  <c:v>167.96</c:v>
                </c:pt>
                <c:pt idx="166">
                  <c:v>168.13</c:v>
                </c:pt>
                <c:pt idx="167">
                  <c:v>169.67</c:v>
                </c:pt>
                <c:pt idx="168">
                  <c:v>166.33</c:v>
                </c:pt>
                <c:pt idx="169">
                  <c:v>165.36</c:v>
                </c:pt>
                <c:pt idx="170">
                  <c:v>168</c:v>
                </c:pt>
                <c:pt idx="171">
                  <c:v>172.46</c:v>
                </c:pt>
                <c:pt idx="172">
                  <c:v>173.21</c:v>
                </c:pt>
                <c:pt idx="173">
                  <c:v>172.45</c:v>
                </c:pt>
                <c:pt idx="174">
                  <c:v>173.17</c:v>
                </c:pt>
                <c:pt idx="175">
                  <c:v>174.26</c:v>
                </c:pt>
                <c:pt idx="176">
                  <c:v>176.65</c:v>
                </c:pt>
                <c:pt idx="177">
                  <c:v>178.61</c:v>
                </c:pt>
                <c:pt idx="178">
                  <c:v>181.04</c:v>
                </c:pt>
                <c:pt idx="179">
                  <c:v>181.48</c:v>
                </c:pt>
                <c:pt idx="180">
                  <c:v>181.37</c:v>
                </c:pt>
                <c:pt idx="181">
                  <c:v>177.27</c:v>
                </c:pt>
                <c:pt idx="182">
                  <c:v>179.29</c:v>
                </c:pt>
                <c:pt idx="183">
                  <c:v>182.67</c:v>
                </c:pt>
                <c:pt idx="184">
                  <c:v>182.84</c:v>
                </c:pt>
                <c:pt idx="185">
                  <c:v>184.35</c:v>
                </c:pt>
                <c:pt idx="186">
                  <c:v>185.19</c:v>
                </c:pt>
                <c:pt idx="187">
                  <c:v>181.81</c:v>
                </c:pt>
                <c:pt idx="188">
                  <c:v>176.66</c:v>
                </c:pt>
                <c:pt idx="189">
                  <c:v>174.44</c:v>
                </c:pt>
                <c:pt idx="190">
                  <c:v>174.16</c:v>
                </c:pt>
                <c:pt idx="191">
                  <c:v>172.78</c:v>
                </c:pt>
                <c:pt idx="192">
                  <c:v>171.95</c:v>
                </c:pt>
                <c:pt idx="193">
                  <c:v>172.22</c:v>
                </c:pt>
                <c:pt idx="194">
                  <c:v>174</c:v>
                </c:pt>
                <c:pt idx="195">
                  <c:v>173.24</c:v>
                </c:pt>
                <c:pt idx="196">
                  <c:v>170.51</c:v>
                </c:pt>
                <c:pt idx="197">
                  <c:v>173.03</c:v>
                </c:pt>
                <c:pt idx="198">
                  <c:v>173.86</c:v>
                </c:pt>
                <c:pt idx="199">
                  <c:v>176.42</c:v>
                </c:pt>
                <c:pt idx="200">
                  <c:v>171.94</c:v>
                </c:pt>
                <c:pt idx="201">
                  <c:v>171.43</c:v>
                </c:pt>
                <c:pt idx="202">
                  <c:v>170.06</c:v>
                </c:pt>
                <c:pt idx="203">
                  <c:v>173.21</c:v>
                </c:pt>
                <c:pt idx="204">
                  <c:v>167.51</c:v>
                </c:pt>
                <c:pt idx="205">
                  <c:v>168.77</c:v>
                </c:pt>
                <c:pt idx="206">
                  <c:v>168.98</c:v>
                </c:pt>
                <c:pt idx="207">
                  <c:v>167.4</c:v>
                </c:pt>
                <c:pt idx="208">
                  <c:v>172.38</c:v>
                </c:pt>
                <c:pt idx="209">
                  <c:v>172.66</c:v>
                </c:pt>
                <c:pt idx="210">
                  <c:v>173.29</c:v>
                </c:pt>
                <c:pt idx="211">
                  <c:v>171.39</c:v>
                </c:pt>
                <c:pt idx="212">
                  <c:v>171.48</c:v>
                </c:pt>
                <c:pt idx="213">
                  <c:v>172.03</c:v>
                </c:pt>
                <c:pt idx="214">
                  <c:v>171.36</c:v>
                </c:pt>
                <c:pt idx="215">
                  <c:v>172.02</c:v>
                </c:pt>
                <c:pt idx="216">
                  <c:v>169.23</c:v>
                </c:pt>
                <c:pt idx="217">
                  <c:v>169.78</c:v>
                </c:pt>
                <c:pt idx="218">
                  <c:v>169.41</c:v>
                </c:pt>
                <c:pt idx="219">
                  <c:v>169.43</c:v>
                </c:pt>
                <c:pt idx="220">
                  <c:v>169.15</c:v>
                </c:pt>
                <c:pt idx="221">
                  <c:v>168.82</c:v>
                </c:pt>
                <c:pt idx="222">
                  <c:v>167.68</c:v>
                </c:pt>
                <c:pt idx="223">
                  <c:v>166.81</c:v>
                </c:pt>
                <c:pt idx="224">
                  <c:v>167.85</c:v>
                </c:pt>
                <c:pt idx="225">
                  <c:v>158.38999999999999</c:v>
                </c:pt>
                <c:pt idx="226">
                  <c:v>156.16999999999999</c:v>
                </c:pt>
                <c:pt idx="227">
                  <c:v>154.47999999999999</c:v>
                </c:pt>
                <c:pt idx="228">
                  <c:v>153.63</c:v>
                </c:pt>
                <c:pt idx="229">
                  <c:v>155.03</c:v>
                </c:pt>
                <c:pt idx="230">
                  <c:v>159.63</c:v>
                </c:pt>
                <c:pt idx="231">
                  <c:v>158.55000000000001</c:v>
                </c:pt>
                <c:pt idx="232">
                  <c:v>161.51</c:v>
                </c:pt>
                <c:pt idx="233">
                  <c:v>161.91999999999999</c:v>
                </c:pt>
                <c:pt idx="234">
                  <c:v>159.22999999999999</c:v>
                </c:pt>
                <c:pt idx="235">
                  <c:v>157.96</c:v>
                </c:pt>
                <c:pt idx="236">
                  <c:v>155.30000000000001</c:v>
                </c:pt>
                <c:pt idx="237">
                  <c:v>160.18</c:v>
                </c:pt>
                <c:pt idx="238">
                  <c:v>160.16</c:v>
                </c:pt>
                <c:pt idx="239">
                  <c:v>158.52000000000001</c:v>
                </c:pt>
                <c:pt idx="240">
                  <c:v>157.94999999999999</c:v>
                </c:pt>
                <c:pt idx="241">
                  <c:v>159.66999999999999</c:v>
                </c:pt>
                <c:pt idx="242">
                  <c:v>158.66</c:v>
                </c:pt>
                <c:pt idx="243">
                  <c:v>159.62</c:v>
                </c:pt>
                <c:pt idx="244">
                  <c:v>159.56</c:v>
                </c:pt>
                <c:pt idx="245">
                  <c:v>153.01</c:v>
                </c:pt>
                <c:pt idx="246">
                  <c:v>157.94</c:v>
                </c:pt>
                <c:pt idx="247">
                  <c:v>161.36000000000001</c:v>
                </c:pt>
                <c:pt idx="248">
                  <c:v>161.69</c:v>
                </c:pt>
                <c:pt idx="249">
                  <c:v>159.68</c:v>
                </c:pt>
                <c:pt idx="250">
                  <c:v>161.43</c:v>
                </c:pt>
                <c:pt idx="251">
                  <c:v>163.47999999999999</c:v>
                </c:pt>
                <c:pt idx="252">
                  <c:v>162.77000000000001</c:v>
                </c:pt>
                <c:pt idx="253">
                  <c:v>163.04</c:v>
                </c:pt>
                <c:pt idx="254">
                  <c:v>163.02000000000001</c:v>
                </c:pt>
                <c:pt idx="255">
                  <c:v>162.37</c:v>
                </c:pt>
                <c:pt idx="256">
                  <c:v>159.9</c:v>
                </c:pt>
                <c:pt idx="257">
                  <c:v>157.33000000000001</c:v>
                </c:pt>
                <c:pt idx="258">
                  <c:v>159</c:v>
                </c:pt>
                <c:pt idx="259">
                  <c:v>160.44</c:v>
                </c:pt>
                <c:pt idx="260">
                  <c:v>159.84</c:v>
                </c:pt>
                <c:pt idx="261">
                  <c:v>160.66</c:v>
                </c:pt>
                <c:pt idx="262">
                  <c:v>159</c:v>
                </c:pt>
                <c:pt idx="263">
                  <c:v>161.97</c:v>
                </c:pt>
                <c:pt idx="264">
                  <c:v>162.4</c:v>
                </c:pt>
                <c:pt idx="265">
                  <c:v>163.01</c:v>
                </c:pt>
                <c:pt idx="266">
                  <c:v>165.91</c:v>
                </c:pt>
                <c:pt idx="267">
                  <c:v>165.88</c:v>
                </c:pt>
                <c:pt idx="268">
                  <c:v>160.06</c:v>
                </c:pt>
                <c:pt idx="269">
                  <c:v>159.76</c:v>
                </c:pt>
                <c:pt idx="270">
                  <c:v>161.44999999999999</c:v>
                </c:pt>
                <c:pt idx="271">
                  <c:v>160.54</c:v>
                </c:pt>
                <c:pt idx="272">
                  <c:v>156.38999999999999</c:v>
                </c:pt>
                <c:pt idx="273">
                  <c:v>154.79</c:v>
                </c:pt>
                <c:pt idx="274">
                  <c:v>152.43</c:v>
                </c:pt>
                <c:pt idx="275">
                  <c:v>151.97</c:v>
                </c:pt>
                <c:pt idx="276">
                  <c:v>151</c:v>
                </c:pt>
                <c:pt idx="277">
                  <c:v>152.11000000000001</c:v>
                </c:pt>
                <c:pt idx="278">
                  <c:v>152.6</c:v>
                </c:pt>
                <c:pt idx="279">
                  <c:v>154.16999999999999</c:v>
                </c:pt>
                <c:pt idx="280">
                  <c:v>152.13</c:v>
                </c:pt>
                <c:pt idx="281">
                  <c:v>152.88999999999999</c:v>
                </c:pt>
                <c:pt idx="282">
                  <c:v>156.41</c:v>
                </c:pt>
                <c:pt idx="283">
                  <c:v>155.68</c:v>
                </c:pt>
                <c:pt idx="284">
                  <c:v>157.32</c:v>
                </c:pt>
                <c:pt idx="285">
                  <c:v>157.49</c:v>
                </c:pt>
                <c:pt idx="286">
                  <c:v>157.97</c:v>
                </c:pt>
                <c:pt idx="287">
                  <c:v>158.18</c:v>
                </c:pt>
                <c:pt idx="288">
                  <c:v>157.35</c:v>
                </c:pt>
                <c:pt idx="289">
                  <c:v>159.04</c:v>
                </c:pt>
                <c:pt idx="290">
                  <c:v>161.02000000000001</c:v>
                </c:pt>
                <c:pt idx="291">
                  <c:v>163.12</c:v>
                </c:pt>
                <c:pt idx="292">
                  <c:v>161.24</c:v>
                </c:pt>
                <c:pt idx="293">
                  <c:v>161.66</c:v>
                </c:pt>
                <c:pt idx="294">
                  <c:v>162.51</c:v>
                </c:pt>
                <c:pt idx="295">
                  <c:v>162.97</c:v>
                </c:pt>
                <c:pt idx="296">
                  <c:v>161.29</c:v>
                </c:pt>
                <c:pt idx="297">
                  <c:v>161.63999999999999</c:v>
                </c:pt>
                <c:pt idx="298">
                  <c:v>158.69</c:v>
                </c:pt>
                <c:pt idx="299">
                  <c:v>157.57</c:v>
                </c:pt>
                <c:pt idx="300">
                  <c:v>157.55000000000001</c:v>
                </c:pt>
                <c:pt idx="301">
                  <c:v>157.35</c:v>
                </c:pt>
                <c:pt idx="302">
                  <c:v>155.31</c:v>
                </c:pt>
                <c:pt idx="303">
                  <c:v>149.43</c:v>
                </c:pt>
                <c:pt idx="304">
                  <c:v>151.63</c:v>
                </c:pt>
                <c:pt idx="305">
                  <c:v>142.78</c:v>
                </c:pt>
                <c:pt idx="306">
                  <c:v>143.66999999999999</c:v>
                </c:pt>
                <c:pt idx="307">
                  <c:v>146</c:v>
                </c:pt>
                <c:pt idx="308">
                  <c:v>144.44</c:v>
                </c:pt>
                <c:pt idx="309">
                  <c:v>142.08000000000001</c:v>
                </c:pt>
                <c:pt idx="310">
                  <c:v>141.18</c:v>
                </c:pt>
                <c:pt idx="311">
                  <c:v>140.08000000000001</c:v>
                </c:pt>
                <c:pt idx="312">
                  <c:v>141.5</c:v>
                </c:pt>
                <c:pt idx="313">
                  <c:v>142.07</c:v>
                </c:pt>
                <c:pt idx="314">
                  <c:v>138.85</c:v>
                </c:pt>
                <c:pt idx="315">
                  <c:v>141.52000000000001</c:v>
                </c:pt>
                <c:pt idx="316">
                  <c:v>141.16</c:v>
                </c:pt>
                <c:pt idx="317">
                  <c:v>138.16</c:v>
                </c:pt>
                <c:pt idx="318">
                  <c:v>139.18</c:v>
                </c:pt>
                <c:pt idx="319">
                  <c:v>137.13999999999999</c:v>
                </c:pt>
                <c:pt idx="320">
                  <c:v>136.97</c:v>
                </c:pt>
                <c:pt idx="321">
                  <c:v>136.41</c:v>
                </c:pt>
                <c:pt idx="322">
                  <c:v>133.41999999999999</c:v>
                </c:pt>
                <c:pt idx="323">
                  <c:v>127.18</c:v>
                </c:pt>
                <c:pt idx="324">
                  <c:v>130.28</c:v>
                </c:pt>
                <c:pt idx="325">
                  <c:v>129.47999999999999</c:v>
                </c:pt>
                <c:pt idx="326">
                  <c:v>140.38999999999999</c:v>
                </c:pt>
                <c:pt idx="327">
                  <c:v>153.62</c:v>
                </c:pt>
                <c:pt idx="328">
                  <c:v>154.69</c:v>
                </c:pt>
                <c:pt idx="329">
                  <c:v>153.12</c:v>
                </c:pt>
                <c:pt idx="330">
                  <c:v>154.24</c:v>
                </c:pt>
                <c:pt idx="331">
                  <c:v>155.41999999999999</c:v>
                </c:pt>
                <c:pt idx="332">
                  <c:v>155.81</c:v>
                </c:pt>
                <c:pt idx="333">
                  <c:v>156.72999999999999</c:v>
                </c:pt>
                <c:pt idx="334">
                  <c:v>158.41999999999999</c:v>
                </c:pt>
                <c:pt idx="335">
                  <c:v>157.28</c:v>
                </c:pt>
                <c:pt idx="336">
                  <c:v>159.04</c:v>
                </c:pt>
                <c:pt idx="337">
                  <c:v>158.6</c:v>
                </c:pt>
                <c:pt idx="338">
                  <c:v>154.66</c:v>
                </c:pt>
                <c:pt idx="339">
                  <c:v>151.81</c:v>
                </c:pt>
                <c:pt idx="340">
                  <c:v>150.88</c:v>
                </c:pt>
                <c:pt idx="341">
                  <c:v>150.30000000000001</c:v>
                </c:pt>
                <c:pt idx="342">
                  <c:v>150.75</c:v>
                </c:pt>
                <c:pt idx="343">
                  <c:v>151.05000000000001</c:v>
                </c:pt>
                <c:pt idx="344">
                  <c:v>151.56</c:v>
                </c:pt>
                <c:pt idx="345">
                  <c:v>150.44</c:v>
                </c:pt>
                <c:pt idx="346">
                  <c:v>146.1</c:v>
                </c:pt>
                <c:pt idx="347">
                  <c:v>139.34</c:v>
                </c:pt>
                <c:pt idx="348">
                  <c:v>138.57</c:v>
                </c:pt>
                <c:pt idx="349">
                  <c:v>137.19999999999999</c:v>
                </c:pt>
                <c:pt idx="350">
                  <c:v>138.69</c:v>
                </c:pt>
                <c:pt idx="351">
                  <c:v>137.07</c:v>
                </c:pt>
                <c:pt idx="352">
                  <c:v>137.65</c:v>
                </c:pt>
                <c:pt idx="353">
                  <c:v>140.76</c:v>
                </c:pt>
                <c:pt idx="354">
                  <c:v>138.04</c:v>
                </c:pt>
                <c:pt idx="355">
                  <c:v>135.76</c:v>
                </c:pt>
                <c:pt idx="356">
                  <c:v>134.54</c:v>
                </c:pt>
                <c:pt idx="357">
                  <c:v>134.29</c:v>
                </c:pt>
                <c:pt idx="358">
                  <c:v>134.47</c:v>
                </c:pt>
                <c:pt idx="359">
                  <c:v>136.25</c:v>
                </c:pt>
                <c:pt idx="360">
                  <c:v>132.28</c:v>
                </c:pt>
                <c:pt idx="361">
                  <c:v>130.11000000000001</c:v>
                </c:pt>
                <c:pt idx="362">
                  <c:v>134.04</c:v>
                </c:pt>
                <c:pt idx="363">
                  <c:v>138.31</c:v>
                </c:pt>
                <c:pt idx="364">
                  <c:v>132.54</c:v>
                </c:pt>
                <c:pt idx="365">
                  <c:v>134.4</c:v>
                </c:pt>
                <c:pt idx="366">
                  <c:v>133.41999999999999</c:v>
                </c:pt>
                <c:pt idx="367">
                  <c:v>131.82</c:v>
                </c:pt>
                <c:pt idx="368">
                  <c:v>132.97</c:v>
                </c:pt>
                <c:pt idx="369">
                  <c:v>134.62</c:v>
                </c:pt>
                <c:pt idx="370">
                  <c:v>131.12</c:v>
                </c:pt>
                <c:pt idx="371">
                  <c:v>130.80000000000001</c:v>
                </c:pt>
                <c:pt idx="372">
                  <c:v>128.62</c:v>
                </c:pt>
                <c:pt idx="373">
                  <c:v>126.37</c:v>
                </c:pt>
                <c:pt idx="374">
                  <c:v>129.74</c:v>
                </c:pt>
                <c:pt idx="375">
                  <c:v>130.37</c:v>
                </c:pt>
                <c:pt idx="376">
                  <c:v>128.91999999999999</c:v>
                </c:pt>
                <c:pt idx="377">
                  <c:v>129.69999999999999</c:v>
                </c:pt>
                <c:pt idx="378">
                  <c:v>131.66</c:v>
                </c:pt>
                <c:pt idx="379">
                  <c:v>130.28</c:v>
                </c:pt>
                <c:pt idx="380">
                  <c:v>127.81</c:v>
                </c:pt>
                <c:pt idx="381">
                  <c:v>126.53</c:v>
                </c:pt>
                <c:pt idx="382">
                  <c:v>126.93</c:v>
                </c:pt>
                <c:pt idx="383">
                  <c:v>122.93</c:v>
                </c:pt>
                <c:pt idx="384">
                  <c:v>127.43</c:v>
                </c:pt>
                <c:pt idx="385">
                  <c:v>129.93</c:v>
                </c:pt>
                <c:pt idx="386">
                  <c:v>132.63999999999999</c:v>
                </c:pt>
                <c:pt idx="387">
                  <c:v>133.38</c:v>
                </c:pt>
                <c:pt idx="388">
                  <c:v>132.18</c:v>
                </c:pt>
                <c:pt idx="389">
                  <c:v>138.36000000000001</c:v>
                </c:pt>
                <c:pt idx="390">
                  <c:v>138.18</c:v>
                </c:pt>
                <c:pt idx="391">
                  <c:v>136.74</c:v>
                </c:pt>
                <c:pt idx="392">
                  <c:v>138.05000000000001</c:v>
                </c:pt>
                <c:pt idx="393">
                  <c:v>136.88</c:v>
                </c:pt>
                <c:pt idx="394">
                  <c:v>138.91</c:v>
                </c:pt>
                <c:pt idx="395">
                  <c:v>140.36000000000001</c:v>
                </c:pt>
                <c:pt idx="396">
                  <c:v>140.38</c:v>
                </c:pt>
                <c:pt idx="397">
                  <c:v>141.71</c:v>
                </c:pt>
                <c:pt idx="398">
                  <c:v>140.68</c:v>
                </c:pt>
                <c:pt idx="399">
                  <c:v>143.26</c:v>
                </c:pt>
                <c:pt idx="400">
                  <c:v>144.46</c:v>
                </c:pt>
                <c:pt idx="401">
                  <c:v>145.68</c:v>
                </c:pt>
                <c:pt idx="402">
                  <c:v>147.79</c:v>
                </c:pt>
                <c:pt idx="403">
                  <c:v>148.94999999999999</c:v>
                </c:pt>
                <c:pt idx="404">
                  <c:v>150.78</c:v>
                </c:pt>
                <c:pt idx="405">
                  <c:v>150.6</c:v>
                </c:pt>
                <c:pt idx="406">
                  <c:v>150.32</c:v>
                </c:pt>
                <c:pt idx="407">
                  <c:v>149.88</c:v>
                </c:pt>
                <c:pt idx="408">
                  <c:v>148.29</c:v>
                </c:pt>
                <c:pt idx="409">
                  <c:v>147.07</c:v>
                </c:pt>
                <c:pt idx="410">
                  <c:v>145.85</c:v>
                </c:pt>
                <c:pt idx="411">
                  <c:v>146.54</c:v>
                </c:pt>
                <c:pt idx="412">
                  <c:v>146.41</c:v>
                </c:pt>
                <c:pt idx="413">
                  <c:v>144.54</c:v>
                </c:pt>
                <c:pt idx="414">
                  <c:v>143.38999999999999</c:v>
                </c:pt>
                <c:pt idx="415">
                  <c:v>144.53</c:v>
                </c:pt>
                <c:pt idx="416">
                  <c:v>144.47</c:v>
                </c:pt>
                <c:pt idx="417">
                  <c:v>143.66999999999999</c:v>
                </c:pt>
                <c:pt idx="418">
                  <c:v>142.78</c:v>
                </c:pt>
                <c:pt idx="419">
                  <c:v>140.22</c:v>
                </c:pt>
                <c:pt idx="420">
                  <c:v>139.46</c:v>
                </c:pt>
                <c:pt idx="421">
                  <c:v>141.21</c:v>
                </c:pt>
                <c:pt idx="422">
                  <c:v>137.97999999999999</c:v>
                </c:pt>
                <c:pt idx="423">
                  <c:v>139.16999999999999</c:v>
                </c:pt>
                <c:pt idx="424">
                  <c:v>144.16999999999999</c:v>
                </c:pt>
                <c:pt idx="425">
                  <c:v>145.01</c:v>
                </c:pt>
                <c:pt idx="426">
                  <c:v>147.57</c:v>
                </c:pt>
                <c:pt idx="427">
                  <c:v>150.94999999999999</c:v>
                </c:pt>
                <c:pt idx="428">
                  <c:v>153.62</c:v>
                </c:pt>
                <c:pt idx="429">
                  <c:v>152.29</c:v>
                </c:pt>
                <c:pt idx="430">
                  <c:v>146.94999999999999</c:v>
                </c:pt>
                <c:pt idx="431">
                  <c:v>149.75</c:v>
                </c:pt>
                <c:pt idx="432">
                  <c:v>148.56</c:v>
                </c:pt>
                <c:pt idx="433">
                  <c:v>148.97</c:v>
                </c:pt>
                <c:pt idx="434">
                  <c:v>150.06</c:v>
                </c:pt>
                <c:pt idx="435">
                  <c:v>149.38</c:v>
                </c:pt>
                <c:pt idx="436">
                  <c:v>145.86000000000001</c:v>
                </c:pt>
                <c:pt idx="437">
                  <c:v>148.97999999999999</c:v>
                </c:pt>
                <c:pt idx="438">
                  <c:v>148.78</c:v>
                </c:pt>
                <c:pt idx="439">
                  <c:v>150.38999999999999</c:v>
                </c:pt>
                <c:pt idx="440">
                  <c:v>155.03</c:v>
                </c:pt>
                <c:pt idx="441">
                  <c:v>155.38999999999999</c:v>
                </c:pt>
                <c:pt idx="442">
                  <c:v>152.4</c:v>
                </c:pt>
                <c:pt idx="443">
                  <c:v>155.24</c:v>
                </c:pt>
                <c:pt idx="444">
                  <c:v>155.63</c:v>
                </c:pt>
                <c:pt idx="445">
                  <c:v>158.32</c:v>
                </c:pt>
                <c:pt idx="446">
                  <c:v>160.66</c:v>
                </c:pt>
                <c:pt idx="447">
                  <c:v>159.72</c:v>
                </c:pt>
                <c:pt idx="448">
                  <c:v>159.06</c:v>
                </c:pt>
                <c:pt idx="449">
                  <c:v>159.52000000000001</c:v>
                </c:pt>
                <c:pt idx="450">
                  <c:v>164.36</c:v>
                </c:pt>
                <c:pt idx="451">
                  <c:v>166.75</c:v>
                </c:pt>
                <c:pt idx="452">
                  <c:v>166.98</c:v>
                </c:pt>
                <c:pt idx="453">
                  <c:v>167.03</c:v>
                </c:pt>
                <c:pt idx="454">
                  <c:v>168.55</c:v>
                </c:pt>
                <c:pt idx="455">
                  <c:v>166.55</c:v>
                </c:pt>
                <c:pt idx="456">
                  <c:v>165.61</c:v>
                </c:pt>
                <c:pt idx="457">
                  <c:v>161.66</c:v>
                </c:pt>
                <c:pt idx="458">
                  <c:v>160.53</c:v>
                </c:pt>
                <c:pt idx="459">
                  <c:v>153.99</c:v>
                </c:pt>
                <c:pt idx="460">
                  <c:v>152.02000000000001</c:v>
                </c:pt>
                <c:pt idx="461">
                  <c:v>149.54</c:v>
                </c:pt>
                <c:pt idx="462">
                  <c:v>150.6</c:v>
                </c:pt>
                <c:pt idx="463">
                  <c:v>152.82</c:v>
                </c:pt>
                <c:pt idx="464">
                  <c:v>154.21</c:v>
                </c:pt>
                <c:pt idx="465">
                  <c:v>153.49</c:v>
                </c:pt>
                <c:pt idx="466">
                  <c:v>151.74</c:v>
                </c:pt>
                <c:pt idx="467">
                  <c:v>148.16999999999999</c:v>
                </c:pt>
                <c:pt idx="468">
                  <c:v>149.41999999999999</c:v>
                </c:pt>
                <c:pt idx="469">
                  <c:v>149.47</c:v>
                </c:pt>
                <c:pt idx="470">
                  <c:v>151.22</c:v>
                </c:pt>
                <c:pt idx="471">
                  <c:v>151.72</c:v>
                </c:pt>
                <c:pt idx="472">
                  <c:v>151.18</c:v>
                </c:pt>
                <c:pt idx="473">
                  <c:v>152.15</c:v>
                </c:pt>
                <c:pt idx="474">
                  <c:v>152.88</c:v>
                </c:pt>
                <c:pt idx="475">
                  <c:v>152.76</c:v>
                </c:pt>
                <c:pt idx="476">
                  <c:v>152.97</c:v>
                </c:pt>
                <c:pt idx="477">
                  <c:v>153.69999999999999</c:v>
                </c:pt>
                <c:pt idx="478">
                  <c:v>154.69999999999999</c:v>
                </c:pt>
                <c:pt idx="479">
                  <c:v>155.69999999999999</c:v>
                </c:pt>
                <c:pt idx="480">
                  <c:v>154.19999999999999</c:v>
                </c:pt>
                <c:pt idx="481">
                  <c:v>154.13999999999999</c:v>
                </c:pt>
                <c:pt idx="482">
                  <c:v>151.91999999999999</c:v>
                </c:pt>
                <c:pt idx="483">
                  <c:v>153.93</c:v>
                </c:pt>
                <c:pt idx="484">
                  <c:v>153.96</c:v>
                </c:pt>
                <c:pt idx="485">
                  <c:v>149.52000000000001</c:v>
                </c:pt>
                <c:pt idx="486">
                  <c:v>146.16999999999999</c:v>
                </c:pt>
                <c:pt idx="487">
                  <c:v>148.88</c:v>
                </c:pt>
                <c:pt idx="488">
                  <c:v>152.06</c:v>
                </c:pt>
                <c:pt idx="489">
                  <c:v>151.81</c:v>
                </c:pt>
                <c:pt idx="490">
                  <c:v>150.28</c:v>
                </c:pt>
                <c:pt idx="491">
                  <c:v>153.86000000000001</c:v>
                </c:pt>
                <c:pt idx="492">
                  <c:v>150.32</c:v>
                </c:pt>
                <c:pt idx="493">
                  <c:v>149.82</c:v>
                </c:pt>
                <c:pt idx="494">
                  <c:v>158.22</c:v>
                </c:pt>
                <c:pt idx="495">
                  <c:v>163.06</c:v>
                </c:pt>
                <c:pt idx="496">
                  <c:v>165.33</c:v>
                </c:pt>
                <c:pt idx="497">
                  <c:v>164.07</c:v>
                </c:pt>
                <c:pt idx="498">
                  <c:v>162.87</c:v>
                </c:pt>
                <c:pt idx="499">
                  <c:v>162.55000000000001</c:v>
                </c:pt>
                <c:pt idx="500">
                  <c:v>157.38999999999999</c:v>
                </c:pt>
                <c:pt idx="501">
                  <c:v>160.31</c:v>
                </c:pt>
                <c:pt idx="502">
                  <c:v>160.02000000000001</c:v>
                </c:pt>
                <c:pt idx="503">
                  <c:v>160.32</c:v>
                </c:pt>
                <c:pt idx="504">
                  <c:v>157.77000000000001</c:v>
                </c:pt>
                <c:pt idx="505">
                  <c:v>166.36</c:v>
                </c:pt>
                <c:pt idx="506">
                  <c:v>167.07</c:v>
                </c:pt>
                <c:pt idx="507">
                  <c:v>166.76</c:v>
                </c:pt>
                <c:pt idx="508">
                  <c:v>168.69</c:v>
                </c:pt>
                <c:pt idx="509">
                  <c:v>168.92</c:v>
                </c:pt>
                <c:pt idx="510">
                  <c:v>167.98</c:v>
                </c:pt>
                <c:pt idx="511">
                  <c:v>171.8</c:v>
                </c:pt>
                <c:pt idx="512">
                  <c:v>172.28</c:v>
                </c:pt>
                <c:pt idx="513">
                  <c:v>174.71</c:v>
                </c:pt>
                <c:pt idx="514">
                  <c:v>176.29</c:v>
                </c:pt>
                <c:pt idx="515">
                  <c:v>176.37</c:v>
                </c:pt>
                <c:pt idx="516">
                  <c:v>174.54</c:v>
                </c:pt>
                <c:pt idx="517">
                  <c:v>174.07</c:v>
                </c:pt>
                <c:pt idx="518">
                  <c:v>174.01</c:v>
                </c:pt>
                <c:pt idx="519">
                  <c:v>174.16</c:v>
                </c:pt>
                <c:pt idx="520">
                  <c:v>172.56</c:v>
                </c:pt>
                <c:pt idx="521">
                  <c:v>175.68</c:v>
                </c:pt>
                <c:pt idx="522">
                  <c:v>177.96</c:v>
                </c:pt>
                <c:pt idx="523">
                  <c:v>179.94</c:v>
                </c:pt>
                <c:pt idx="524">
                  <c:v>182.28</c:v>
                </c:pt>
                <c:pt idx="525">
                  <c:v>180.02</c:v>
                </c:pt>
                <c:pt idx="526">
                  <c:v>181.12</c:v>
                </c:pt>
                <c:pt idx="527">
                  <c:v>183.15</c:v>
                </c:pt>
                <c:pt idx="528">
                  <c:v>182.56</c:v>
                </c:pt>
                <c:pt idx="529">
                  <c:v>182.23</c:v>
                </c:pt>
                <c:pt idx="530">
                  <c:v>181.33</c:v>
                </c:pt>
                <c:pt idx="531">
                  <c:v>180.29</c:v>
                </c:pt>
                <c:pt idx="532">
                  <c:v>178.9</c:v>
                </c:pt>
                <c:pt idx="533">
                  <c:v>172.05</c:v>
                </c:pt>
                <c:pt idx="534">
                  <c:v>169.2</c:v>
                </c:pt>
                <c:pt idx="535">
                  <c:v>158.94999999999999</c:v>
                </c:pt>
                <c:pt idx="536">
                  <c:v>174.25</c:v>
                </c:pt>
                <c:pt idx="537">
                  <c:v>167.2</c:v>
                </c:pt>
                <c:pt idx="538">
                  <c:v>164.15</c:v>
                </c:pt>
                <c:pt idx="539">
                  <c:v>174.25</c:v>
                </c:pt>
                <c:pt idx="540">
                  <c:v>174.9</c:v>
                </c:pt>
                <c:pt idx="541">
                  <c:v>175.5</c:v>
                </c:pt>
                <c:pt idx="542">
                  <c:v>174.85</c:v>
                </c:pt>
                <c:pt idx="543">
                  <c:v>175.5</c:v>
                </c:pt>
                <c:pt idx="544">
                  <c:v>173.3</c:v>
                </c:pt>
                <c:pt idx="545">
                  <c:v>174.35</c:v>
                </c:pt>
                <c:pt idx="546">
                  <c:v>167.9</c:v>
                </c:pt>
                <c:pt idx="547">
                  <c:v>167.35</c:v>
                </c:pt>
                <c:pt idx="548">
                  <c:v>165.9</c:v>
                </c:pt>
                <c:pt idx="549">
                  <c:v>165.6</c:v>
                </c:pt>
                <c:pt idx="550">
                  <c:v>164.95</c:v>
                </c:pt>
                <c:pt idx="551">
                  <c:v>163.85</c:v>
                </c:pt>
                <c:pt idx="552">
                  <c:v>162.25</c:v>
                </c:pt>
                <c:pt idx="553">
                  <c:v>161.9</c:v>
                </c:pt>
                <c:pt idx="554">
                  <c:v>166.05</c:v>
                </c:pt>
                <c:pt idx="555">
                  <c:v>164.25</c:v>
                </c:pt>
                <c:pt idx="556">
                  <c:v>167.6</c:v>
                </c:pt>
                <c:pt idx="557">
                  <c:v>166.5</c:v>
                </c:pt>
                <c:pt idx="558">
                  <c:v>167.35</c:v>
                </c:pt>
                <c:pt idx="559">
                  <c:v>165</c:v>
                </c:pt>
                <c:pt idx="560">
                  <c:v>167.4</c:v>
                </c:pt>
                <c:pt idx="561">
                  <c:v>165.8</c:v>
                </c:pt>
                <c:pt idx="562">
                  <c:v>167.7</c:v>
                </c:pt>
                <c:pt idx="563">
                  <c:v>165.55</c:v>
                </c:pt>
                <c:pt idx="564">
                  <c:v>161.15</c:v>
                </c:pt>
                <c:pt idx="565">
                  <c:v>161.85</c:v>
                </c:pt>
                <c:pt idx="566">
                  <c:v>162.1</c:v>
                </c:pt>
                <c:pt idx="567">
                  <c:v>160.05000000000001</c:v>
                </c:pt>
                <c:pt idx="568">
                  <c:v>160.05000000000001</c:v>
                </c:pt>
                <c:pt idx="569">
                  <c:v>160.85</c:v>
                </c:pt>
                <c:pt idx="570">
                  <c:v>163.5</c:v>
                </c:pt>
                <c:pt idx="571">
                  <c:v>165.05</c:v>
                </c:pt>
                <c:pt idx="572">
                  <c:v>166</c:v>
                </c:pt>
                <c:pt idx="573">
                  <c:v>165.2</c:v>
                </c:pt>
                <c:pt idx="574">
                  <c:v>163.35</c:v>
                </c:pt>
                <c:pt idx="575">
                  <c:v>163.4</c:v>
                </c:pt>
                <c:pt idx="576">
                  <c:v>163.65</c:v>
                </c:pt>
                <c:pt idx="577">
                  <c:v>164.65</c:v>
                </c:pt>
                <c:pt idx="578">
                  <c:v>163.15</c:v>
                </c:pt>
                <c:pt idx="579">
                  <c:v>155.85</c:v>
                </c:pt>
                <c:pt idx="580">
                  <c:v>152.69999999999999</c:v>
                </c:pt>
                <c:pt idx="581">
                  <c:v>152.4</c:v>
                </c:pt>
                <c:pt idx="582">
                  <c:v>151.80000000000001</c:v>
                </c:pt>
                <c:pt idx="583">
                  <c:v>150.1</c:v>
                </c:pt>
                <c:pt idx="584">
                  <c:v>145.65</c:v>
                </c:pt>
                <c:pt idx="585">
                  <c:v>148.75</c:v>
                </c:pt>
                <c:pt idx="586">
                  <c:v>149.69999999999999</c:v>
                </c:pt>
                <c:pt idx="587">
                  <c:v>141.69999999999999</c:v>
                </c:pt>
                <c:pt idx="588">
                  <c:v>142.44999999999999</c:v>
                </c:pt>
                <c:pt idx="589">
                  <c:v>143.65</c:v>
                </c:pt>
                <c:pt idx="590">
                  <c:v>152.5</c:v>
                </c:pt>
                <c:pt idx="591">
                  <c:v>153.44999999999999</c:v>
                </c:pt>
                <c:pt idx="592">
                  <c:v>157.25</c:v>
                </c:pt>
                <c:pt idx="593">
                  <c:v>151.6</c:v>
                </c:pt>
                <c:pt idx="594">
                  <c:v>151.85</c:v>
                </c:pt>
                <c:pt idx="595">
                  <c:v>153.1</c:v>
                </c:pt>
                <c:pt idx="596">
                  <c:v>155.25</c:v>
                </c:pt>
                <c:pt idx="597">
                  <c:v>149.94999999999999</c:v>
                </c:pt>
                <c:pt idx="598">
                  <c:v>140.85</c:v>
                </c:pt>
                <c:pt idx="599">
                  <c:v>140.75</c:v>
                </c:pt>
                <c:pt idx="600">
                  <c:v>144.19999999999999</c:v>
                </c:pt>
                <c:pt idx="601">
                  <c:v>142.65</c:v>
                </c:pt>
                <c:pt idx="602">
                  <c:v>145.44999999999999</c:v>
                </c:pt>
                <c:pt idx="603">
                  <c:v>145.9</c:v>
                </c:pt>
                <c:pt idx="604">
                  <c:v>143.9</c:v>
                </c:pt>
                <c:pt idx="605">
                  <c:v>141.05000000000001</c:v>
                </c:pt>
                <c:pt idx="606">
                  <c:v>141.94999999999999</c:v>
                </c:pt>
                <c:pt idx="607">
                  <c:v>142.30000000000001</c:v>
                </c:pt>
                <c:pt idx="608">
                  <c:v>141.19999999999999</c:v>
                </c:pt>
                <c:pt idx="609">
                  <c:v>141.19999999999999</c:v>
                </c:pt>
                <c:pt idx="610">
                  <c:v>137.85</c:v>
                </c:pt>
                <c:pt idx="611">
                  <c:v>137.4</c:v>
                </c:pt>
                <c:pt idx="612">
                  <c:v>141.30000000000001</c:v>
                </c:pt>
                <c:pt idx="613">
                  <c:v>143.65</c:v>
                </c:pt>
                <c:pt idx="614">
                  <c:v>144.4</c:v>
                </c:pt>
                <c:pt idx="615">
                  <c:v>144.65</c:v>
                </c:pt>
                <c:pt idx="616">
                  <c:v>141.55000000000001</c:v>
                </c:pt>
                <c:pt idx="617">
                  <c:v>138.69999999999999</c:v>
                </c:pt>
                <c:pt idx="618">
                  <c:v>134.80000000000001</c:v>
                </c:pt>
                <c:pt idx="619">
                  <c:v>135.94999999999999</c:v>
                </c:pt>
                <c:pt idx="620">
                  <c:v>134.69999999999999</c:v>
                </c:pt>
                <c:pt idx="621">
                  <c:v>135</c:v>
                </c:pt>
                <c:pt idx="622">
                  <c:v>133.75</c:v>
                </c:pt>
                <c:pt idx="623">
                  <c:v>135.15</c:v>
                </c:pt>
                <c:pt idx="624">
                  <c:v>130.1</c:v>
                </c:pt>
                <c:pt idx="625">
                  <c:v>133.94999999999999</c:v>
                </c:pt>
                <c:pt idx="626">
                  <c:v>134.25</c:v>
                </c:pt>
                <c:pt idx="627">
                  <c:v>131</c:v>
                </c:pt>
                <c:pt idx="628">
                  <c:v>131.65</c:v>
                </c:pt>
                <c:pt idx="629">
                  <c:v>137.25</c:v>
                </c:pt>
                <c:pt idx="630">
                  <c:v>134.9</c:v>
                </c:pt>
                <c:pt idx="631">
                  <c:v>135.30000000000001</c:v>
                </c:pt>
                <c:pt idx="632">
                  <c:v>134.9</c:v>
                </c:pt>
                <c:pt idx="633">
                  <c:v>134.1</c:v>
                </c:pt>
                <c:pt idx="634">
                  <c:v>133.65</c:v>
                </c:pt>
                <c:pt idx="635">
                  <c:v>132</c:v>
                </c:pt>
                <c:pt idx="636">
                  <c:v>133.65</c:v>
                </c:pt>
                <c:pt idx="637">
                  <c:v>134.25</c:v>
                </c:pt>
                <c:pt idx="638">
                  <c:v>135.35</c:v>
                </c:pt>
                <c:pt idx="639">
                  <c:v>139.6</c:v>
                </c:pt>
                <c:pt idx="640">
                  <c:v>139.85</c:v>
                </c:pt>
                <c:pt idx="641">
                  <c:v>139.6</c:v>
                </c:pt>
                <c:pt idx="642">
                  <c:v>138.15</c:v>
                </c:pt>
                <c:pt idx="643">
                  <c:v>137.19999999999999</c:v>
                </c:pt>
                <c:pt idx="644">
                  <c:v>135.19999999999999</c:v>
                </c:pt>
                <c:pt idx="645">
                  <c:v>133.55000000000001</c:v>
                </c:pt>
                <c:pt idx="646">
                  <c:v>131</c:v>
                </c:pt>
                <c:pt idx="647">
                  <c:v>129.75</c:v>
                </c:pt>
                <c:pt idx="648">
                  <c:v>135.4</c:v>
                </c:pt>
                <c:pt idx="649">
                  <c:v>136.6</c:v>
                </c:pt>
                <c:pt idx="650">
                  <c:v>136.44999999999999</c:v>
                </c:pt>
                <c:pt idx="651">
                  <c:v>132</c:v>
                </c:pt>
                <c:pt idx="652">
                  <c:v>131.4</c:v>
                </c:pt>
                <c:pt idx="653">
                  <c:v>130.1</c:v>
                </c:pt>
                <c:pt idx="654">
                  <c:v>130.05000000000001</c:v>
                </c:pt>
                <c:pt idx="655">
                  <c:v>129.19999999999999</c:v>
                </c:pt>
                <c:pt idx="656">
                  <c:v>130</c:v>
                </c:pt>
                <c:pt idx="657">
                  <c:v>131.85</c:v>
                </c:pt>
                <c:pt idx="658">
                  <c:v>131.6</c:v>
                </c:pt>
                <c:pt idx="659">
                  <c:v>131</c:v>
                </c:pt>
                <c:pt idx="660">
                  <c:v>130</c:v>
                </c:pt>
                <c:pt idx="661">
                  <c:v>127.9</c:v>
                </c:pt>
                <c:pt idx="662">
                  <c:v>127.75</c:v>
                </c:pt>
                <c:pt idx="663">
                  <c:v>126.85</c:v>
                </c:pt>
                <c:pt idx="664">
                  <c:v>125.95</c:v>
                </c:pt>
                <c:pt idx="665">
                  <c:v>126.7</c:v>
                </c:pt>
                <c:pt idx="666">
                  <c:v>126.1</c:v>
                </c:pt>
                <c:pt idx="667">
                  <c:v>126.25</c:v>
                </c:pt>
                <c:pt idx="668">
                  <c:v>124.35</c:v>
                </c:pt>
                <c:pt idx="669">
                  <c:v>125.2</c:v>
                </c:pt>
                <c:pt idx="670">
                  <c:v>124.7</c:v>
                </c:pt>
                <c:pt idx="671">
                  <c:v>124.05</c:v>
                </c:pt>
                <c:pt idx="672">
                  <c:v>121</c:v>
                </c:pt>
                <c:pt idx="673">
                  <c:v>120.85</c:v>
                </c:pt>
                <c:pt idx="674">
                  <c:v>120.05</c:v>
                </c:pt>
                <c:pt idx="675">
                  <c:v>119.65</c:v>
                </c:pt>
                <c:pt idx="676">
                  <c:v>119.05</c:v>
                </c:pt>
                <c:pt idx="677">
                  <c:v>119.65</c:v>
                </c:pt>
                <c:pt idx="678">
                  <c:v>119.4</c:v>
                </c:pt>
                <c:pt idx="679">
                  <c:v>117.3</c:v>
                </c:pt>
                <c:pt idx="680">
                  <c:v>118.1</c:v>
                </c:pt>
                <c:pt idx="681">
                  <c:v>116.6</c:v>
                </c:pt>
                <c:pt idx="682">
                  <c:v>118.75</c:v>
                </c:pt>
                <c:pt idx="683">
                  <c:v>119.15</c:v>
                </c:pt>
                <c:pt idx="684">
                  <c:v>119.9</c:v>
                </c:pt>
                <c:pt idx="685">
                  <c:v>119.9</c:v>
                </c:pt>
                <c:pt idx="686">
                  <c:v>121.35</c:v>
                </c:pt>
                <c:pt idx="687">
                  <c:v>120</c:v>
                </c:pt>
                <c:pt idx="688">
                  <c:v>123.1</c:v>
                </c:pt>
                <c:pt idx="689">
                  <c:v>126</c:v>
                </c:pt>
                <c:pt idx="690">
                  <c:v>127.1</c:v>
                </c:pt>
                <c:pt idx="691">
                  <c:v>127.4</c:v>
                </c:pt>
                <c:pt idx="692">
                  <c:v>127</c:v>
                </c:pt>
                <c:pt idx="693">
                  <c:v>125.05</c:v>
                </c:pt>
                <c:pt idx="694">
                  <c:v>125.9</c:v>
                </c:pt>
                <c:pt idx="695">
                  <c:v>124.95</c:v>
                </c:pt>
                <c:pt idx="696">
                  <c:v>125.3</c:v>
                </c:pt>
                <c:pt idx="697">
                  <c:v>123.85</c:v>
                </c:pt>
                <c:pt idx="698">
                  <c:v>125.9</c:v>
                </c:pt>
                <c:pt idx="699">
                  <c:v>125.25</c:v>
                </c:pt>
                <c:pt idx="700">
                  <c:v>125.3</c:v>
                </c:pt>
                <c:pt idx="701">
                  <c:v>128</c:v>
                </c:pt>
                <c:pt idx="702">
                  <c:v>128.9</c:v>
                </c:pt>
                <c:pt idx="703">
                  <c:v>126.8</c:v>
                </c:pt>
                <c:pt idx="704">
                  <c:v>128.15</c:v>
                </c:pt>
                <c:pt idx="705">
                  <c:v>128.9</c:v>
                </c:pt>
                <c:pt idx="706">
                  <c:v>127.4</c:v>
                </c:pt>
                <c:pt idx="707">
                  <c:v>126.75</c:v>
                </c:pt>
                <c:pt idx="708">
                  <c:v>127.8</c:v>
                </c:pt>
                <c:pt idx="709">
                  <c:v>128.30000000000001</c:v>
                </c:pt>
                <c:pt idx="710">
                  <c:v>130.44999999999999</c:v>
                </c:pt>
                <c:pt idx="711">
                  <c:v>131.94999999999999</c:v>
                </c:pt>
                <c:pt idx="712">
                  <c:v>131.69999999999999</c:v>
                </c:pt>
                <c:pt idx="713">
                  <c:v>129.55000000000001</c:v>
                </c:pt>
                <c:pt idx="714">
                  <c:v>129</c:v>
                </c:pt>
                <c:pt idx="715">
                  <c:v>131.15</c:v>
                </c:pt>
                <c:pt idx="716">
                  <c:v>129.5</c:v>
                </c:pt>
                <c:pt idx="717">
                  <c:v>130.15</c:v>
                </c:pt>
                <c:pt idx="718">
                  <c:v>129.6</c:v>
                </c:pt>
                <c:pt idx="719">
                  <c:v>131.69999999999999</c:v>
                </c:pt>
                <c:pt idx="720">
                  <c:v>131.75</c:v>
                </c:pt>
                <c:pt idx="721">
                  <c:v>127.05</c:v>
                </c:pt>
                <c:pt idx="722">
                  <c:v>122.9</c:v>
                </c:pt>
                <c:pt idx="723">
                  <c:v>122.1</c:v>
                </c:pt>
                <c:pt idx="724">
                  <c:v>119.55</c:v>
                </c:pt>
                <c:pt idx="725">
                  <c:v>117.6</c:v>
                </c:pt>
                <c:pt idx="726">
                  <c:v>116.9</c:v>
                </c:pt>
                <c:pt idx="727">
                  <c:v>118.25</c:v>
                </c:pt>
                <c:pt idx="728">
                  <c:v>118.95</c:v>
                </c:pt>
                <c:pt idx="729">
                  <c:v>117.55</c:v>
                </c:pt>
                <c:pt idx="730">
                  <c:v>116.9</c:v>
                </c:pt>
                <c:pt idx="731">
                  <c:v>115.8</c:v>
                </c:pt>
                <c:pt idx="732">
                  <c:v>116.05</c:v>
                </c:pt>
                <c:pt idx="733">
                  <c:v>115.95</c:v>
                </c:pt>
                <c:pt idx="734">
                  <c:v>118.15</c:v>
                </c:pt>
                <c:pt idx="735">
                  <c:v>120.3</c:v>
                </c:pt>
                <c:pt idx="736">
                  <c:v>120</c:v>
                </c:pt>
                <c:pt idx="737">
                  <c:v>120.2</c:v>
                </c:pt>
                <c:pt idx="738">
                  <c:v>118.15</c:v>
                </c:pt>
                <c:pt idx="739">
                  <c:v>118.85</c:v>
                </c:pt>
                <c:pt idx="740">
                  <c:v>119</c:v>
                </c:pt>
                <c:pt idx="741">
                  <c:v>118.2</c:v>
                </c:pt>
                <c:pt idx="742">
                  <c:v>118.95</c:v>
                </c:pt>
                <c:pt idx="743">
                  <c:v>123.2</c:v>
                </c:pt>
                <c:pt idx="744">
                  <c:v>123.15</c:v>
                </c:pt>
                <c:pt idx="745">
                  <c:v>120.6</c:v>
                </c:pt>
                <c:pt idx="746">
                  <c:v>119.8</c:v>
                </c:pt>
                <c:pt idx="747">
                  <c:v>119.95</c:v>
                </c:pt>
                <c:pt idx="748">
                  <c:v>119.25</c:v>
                </c:pt>
                <c:pt idx="749">
                  <c:v>115.5</c:v>
                </c:pt>
                <c:pt idx="750">
                  <c:v>116.6</c:v>
                </c:pt>
                <c:pt idx="751">
                  <c:v>116.95</c:v>
                </c:pt>
                <c:pt idx="752">
                  <c:v>116.7</c:v>
                </c:pt>
                <c:pt idx="753">
                  <c:v>116.6</c:v>
                </c:pt>
                <c:pt idx="754">
                  <c:v>117.75</c:v>
                </c:pt>
                <c:pt idx="755">
                  <c:v>117.15</c:v>
                </c:pt>
                <c:pt idx="756">
                  <c:v>114.85</c:v>
                </c:pt>
                <c:pt idx="757">
                  <c:v>114.7</c:v>
                </c:pt>
                <c:pt idx="758">
                  <c:v>115.15</c:v>
                </c:pt>
                <c:pt idx="759">
                  <c:v>115.3</c:v>
                </c:pt>
                <c:pt idx="760">
                  <c:v>111.6</c:v>
                </c:pt>
                <c:pt idx="761">
                  <c:v>112.65</c:v>
                </c:pt>
                <c:pt idx="762">
                  <c:v>112.95</c:v>
                </c:pt>
                <c:pt idx="763">
                  <c:v>112.4</c:v>
                </c:pt>
                <c:pt idx="764">
                  <c:v>113.1</c:v>
                </c:pt>
                <c:pt idx="765">
                  <c:v>112</c:v>
                </c:pt>
                <c:pt idx="766">
                  <c:v>111.55</c:v>
                </c:pt>
                <c:pt idx="767">
                  <c:v>110.75</c:v>
                </c:pt>
                <c:pt idx="768">
                  <c:v>109.85</c:v>
                </c:pt>
                <c:pt idx="769">
                  <c:v>109.6</c:v>
                </c:pt>
                <c:pt idx="770">
                  <c:v>111.1</c:v>
                </c:pt>
                <c:pt idx="771">
                  <c:v>113.9</c:v>
                </c:pt>
                <c:pt idx="772">
                  <c:v>114.25</c:v>
                </c:pt>
                <c:pt idx="773">
                  <c:v>114.1</c:v>
                </c:pt>
                <c:pt idx="774">
                  <c:v>114.25</c:v>
                </c:pt>
                <c:pt idx="775">
                  <c:v>113.75</c:v>
                </c:pt>
                <c:pt idx="776">
                  <c:v>113.8</c:v>
                </c:pt>
                <c:pt idx="777">
                  <c:v>111.15</c:v>
                </c:pt>
                <c:pt idx="778">
                  <c:v>109.5</c:v>
                </c:pt>
                <c:pt idx="779">
                  <c:v>108.9</c:v>
                </c:pt>
                <c:pt idx="780">
                  <c:v>111.15</c:v>
                </c:pt>
                <c:pt idx="781">
                  <c:v>111.5</c:v>
                </c:pt>
                <c:pt idx="782">
                  <c:v>109</c:v>
                </c:pt>
                <c:pt idx="783">
                  <c:v>109.4</c:v>
                </c:pt>
                <c:pt idx="784">
                  <c:v>108</c:v>
                </c:pt>
                <c:pt idx="785">
                  <c:v>105.95</c:v>
                </c:pt>
                <c:pt idx="786">
                  <c:v>105.8</c:v>
                </c:pt>
                <c:pt idx="787">
                  <c:v>107.05</c:v>
                </c:pt>
                <c:pt idx="788">
                  <c:v>108.45</c:v>
                </c:pt>
                <c:pt idx="789">
                  <c:v>106.4</c:v>
                </c:pt>
                <c:pt idx="790">
                  <c:v>104.85</c:v>
                </c:pt>
                <c:pt idx="791">
                  <c:v>105.2</c:v>
                </c:pt>
                <c:pt idx="792">
                  <c:v>105.6</c:v>
                </c:pt>
                <c:pt idx="793">
                  <c:v>105</c:v>
                </c:pt>
                <c:pt idx="794">
                  <c:v>104.65</c:v>
                </c:pt>
                <c:pt idx="795">
                  <c:v>105.2</c:v>
                </c:pt>
                <c:pt idx="796">
                  <c:v>106</c:v>
                </c:pt>
                <c:pt idx="797">
                  <c:v>107.4</c:v>
                </c:pt>
                <c:pt idx="798">
                  <c:v>107.7</c:v>
                </c:pt>
                <c:pt idx="799">
                  <c:v>106.75</c:v>
                </c:pt>
                <c:pt idx="800">
                  <c:v>108.55</c:v>
                </c:pt>
                <c:pt idx="801">
                  <c:v>109.25</c:v>
                </c:pt>
                <c:pt idx="802">
                  <c:v>109.55</c:v>
                </c:pt>
                <c:pt idx="803">
                  <c:v>109.55</c:v>
                </c:pt>
                <c:pt idx="804">
                  <c:v>108.65</c:v>
                </c:pt>
                <c:pt idx="805">
                  <c:v>111.05</c:v>
                </c:pt>
                <c:pt idx="806">
                  <c:v>109.7</c:v>
                </c:pt>
                <c:pt idx="807">
                  <c:v>110.3</c:v>
                </c:pt>
                <c:pt idx="808">
                  <c:v>107.95</c:v>
                </c:pt>
                <c:pt idx="809">
                  <c:v>107.65</c:v>
                </c:pt>
                <c:pt idx="810">
                  <c:v>106.85</c:v>
                </c:pt>
                <c:pt idx="811">
                  <c:v>107.05</c:v>
                </c:pt>
                <c:pt idx="812">
                  <c:v>106.5</c:v>
                </c:pt>
                <c:pt idx="813">
                  <c:v>106.15</c:v>
                </c:pt>
                <c:pt idx="814">
                  <c:v>108</c:v>
                </c:pt>
                <c:pt idx="815">
                  <c:v>108.1</c:v>
                </c:pt>
                <c:pt idx="816">
                  <c:v>107.6</c:v>
                </c:pt>
                <c:pt idx="817">
                  <c:v>107.15</c:v>
                </c:pt>
                <c:pt idx="818">
                  <c:v>107.5</c:v>
                </c:pt>
                <c:pt idx="819">
                  <c:v>107.6</c:v>
                </c:pt>
                <c:pt idx="820">
                  <c:v>107.55</c:v>
                </c:pt>
                <c:pt idx="821">
                  <c:v>104.95</c:v>
                </c:pt>
                <c:pt idx="822">
                  <c:v>104.35</c:v>
                </c:pt>
                <c:pt idx="823">
                  <c:v>104.85</c:v>
                </c:pt>
                <c:pt idx="824">
                  <c:v>104.1</c:v>
                </c:pt>
                <c:pt idx="825">
                  <c:v>104.5</c:v>
                </c:pt>
                <c:pt idx="826">
                  <c:v>103.6</c:v>
                </c:pt>
                <c:pt idx="827">
                  <c:v>102.5</c:v>
                </c:pt>
                <c:pt idx="828">
                  <c:v>102.3</c:v>
                </c:pt>
                <c:pt idx="829">
                  <c:v>102.1</c:v>
                </c:pt>
                <c:pt idx="830">
                  <c:v>104.9</c:v>
                </c:pt>
                <c:pt idx="831">
                  <c:v>104.8</c:v>
                </c:pt>
                <c:pt idx="832">
                  <c:v>104.75</c:v>
                </c:pt>
                <c:pt idx="833">
                  <c:v>104.5</c:v>
                </c:pt>
                <c:pt idx="834">
                  <c:v>107</c:v>
                </c:pt>
                <c:pt idx="835">
                  <c:v>105.05</c:v>
                </c:pt>
                <c:pt idx="836">
                  <c:v>108.65</c:v>
                </c:pt>
                <c:pt idx="837">
                  <c:v>106.4</c:v>
                </c:pt>
                <c:pt idx="838">
                  <c:v>106.8</c:v>
                </c:pt>
                <c:pt idx="839">
                  <c:v>108.1</c:v>
                </c:pt>
                <c:pt idx="840">
                  <c:v>108.2</c:v>
                </c:pt>
                <c:pt idx="841">
                  <c:v>106.5</c:v>
                </c:pt>
                <c:pt idx="842">
                  <c:v>105.65</c:v>
                </c:pt>
                <c:pt idx="843">
                  <c:v>107</c:v>
                </c:pt>
                <c:pt idx="844">
                  <c:v>104.65</c:v>
                </c:pt>
                <c:pt idx="845">
                  <c:v>105.5</c:v>
                </c:pt>
                <c:pt idx="846">
                  <c:v>103.95</c:v>
                </c:pt>
                <c:pt idx="847">
                  <c:v>106.1</c:v>
                </c:pt>
                <c:pt idx="848">
                  <c:v>109.75</c:v>
                </c:pt>
                <c:pt idx="849">
                  <c:v>112.05</c:v>
                </c:pt>
                <c:pt idx="850">
                  <c:v>111.15</c:v>
                </c:pt>
                <c:pt idx="851">
                  <c:v>113.15</c:v>
                </c:pt>
                <c:pt idx="852">
                  <c:v>112.35</c:v>
                </c:pt>
                <c:pt idx="853">
                  <c:v>112.25</c:v>
                </c:pt>
                <c:pt idx="854">
                  <c:v>112</c:v>
                </c:pt>
                <c:pt idx="855">
                  <c:v>110.3</c:v>
                </c:pt>
                <c:pt idx="856">
                  <c:v>109.25</c:v>
                </c:pt>
                <c:pt idx="857">
                  <c:v>108.75</c:v>
                </c:pt>
                <c:pt idx="858">
                  <c:v>108.8</c:v>
                </c:pt>
                <c:pt idx="859">
                  <c:v>111.25</c:v>
                </c:pt>
                <c:pt idx="860">
                  <c:v>111.45</c:v>
                </c:pt>
                <c:pt idx="861">
                  <c:v>111.45</c:v>
                </c:pt>
                <c:pt idx="862">
                  <c:v>117.45</c:v>
                </c:pt>
                <c:pt idx="863">
                  <c:v>120.35</c:v>
                </c:pt>
                <c:pt idx="864">
                  <c:v>119.95</c:v>
                </c:pt>
                <c:pt idx="865">
                  <c:v>122.05</c:v>
                </c:pt>
                <c:pt idx="866">
                  <c:v>119.7</c:v>
                </c:pt>
                <c:pt idx="867">
                  <c:v>118.75</c:v>
                </c:pt>
                <c:pt idx="868">
                  <c:v>120.65</c:v>
                </c:pt>
                <c:pt idx="869">
                  <c:v>121</c:v>
                </c:pt>
                <c:pt idx="870">
                  <c:v>120.4</c:v>
                </c:pt>
                <c:pt idx="871">
                  <c:v>122</c:v>
                </c:pt>
                <c:pt idx="872">
                  <c:v>122.95</c:v>
                </c:pt>
                <c:pt idx="873">
                  <c:v>123.55</c:v>
                </c:pt>
                <c:pt idx="874">
                  <c:v>122.45</c:v>
                </c:pt>
                <c:pt idx="875">
                  <c:v>119.35</c:v>
                </c:pt>
                <c:pt idx="876">
                  <c:v>119.95</c:v>
                </c:pt>
                <c:pt idx="877">
                  <c:v>120.45</c:v>
                </c:pt>
                <c:pt idx="878">
                  <c:v>118.1</c:v>
                </c:pt>
                <c:pt idx="879">
                  <c:v>118.85</c:v>
                </c:pt>
                <c:pt idx="880">
                  <c:v>118.85</c:v>
                </c:pt>
                <c:pt idx="881">
                  <c:v>117.55</c:v>
                </c:pt>
                <c:pt idx="882">
                  <c:v>115.65</c:v>
                </c:pt>
                <c:pt idx="883">
                  <c:v>116.55</c:v>
                </c:pt>
                <c:pt idx="884">
                  <c:v>115.75</c:v>
                </c:pt>
                <c:pt idx="885">
                  <c:v>118.45</c:v>
                </c:pt>
                <c:pt idx="886">
                  <c:v>119.25</c:v>
                </c:pt>
                <c:pt idx="887">
                  <c:v>112.65</c:v>
                </c:pt>
                <c:pt idx="888">
                  <c:v>111.75</c:v>
                </c:pt>
                <c:pt idx="889">
                  <c:v>110</c:v>
                </c:pt>
                <c:pt idx="890">
                  <c:v>111.15</c:v>
                </c:pt>
                <c:pt idx="891">
                  <c:v>105</c:v>
                </c:pt>
                <c:pt idx="892">
                  <c:v>102.25</c:v>
                </c:pt>
                <c:pt idx="893">
                  <c:v>107.65</c:v>
                </c:pt>
                <c:pt idx="894">
                  <c:v>109.4</c:v>
                </c:pt>
                <c:pt idx="895">
                  <c:v>110.95</c:v>
                </c:pt>
                <c:pt idx="896">
                  <c:v>111.8</c:v>
                </c:pt>
                <c:pt idx="897">
                  <c:v>111.05</c:v>
                </c:pt>
                <c:pt idx="898">
                  <c:v>110.95</c:v>
                </c:pt>
                <c:pt idx="899">
                  <c:v>113.05</c:v>
                </c:pt>
                <c:pt idx="900">
                  <c:v>111.2</c:v>
                </c:pt>
                <c:pt idx="901">
                  <c:v>111.7</c:v>
                </c:pt>
                <c:pt idx="902">
                  <c:v>110.45</c:v>
                </c:pt>
                <c:pt idx="903">
                  <c:v>111.85</c:v>
                </c:pt>
                <c:pt idx="904">
                  <c:v>111.2</c:v>
                </c:pt>
                <c:pt idx="905">
                  <c:v>112.95</c:v>
                </c:pt>
                <c:pt idx="906">
                  <c:v>115.85</c:v>
                </c:pt>
                <c:pt idx="907">
                  <c:v>112</c:v>
                </c:pt>
                <c:pt idx="908">
                  <c:v>110.75</c:v>
                </c:pt>
                <c:pt idx="909">
                  <c:v>107.65</c:v>
                </c:pt>
                <c:pt idx="910">
                  <c:v>106.1</c:v>
                </c:pt>
                <c:pt idx="911">
                  <c:v>104.9</c:v>
                </c:pt>
                <c:pt idx="912">
                  <c:v>106.2</c:v>
                </c:pt>
                <c:pt idx="913">
                  <c:v>105.5</c:v>
                </c:pt>
                <c:pt idx="914">
                  <c:v>105.45</c:v>
                </c:pt>
                <c:pt idx="915">
                  <c:v>105.2</c:v>
                </c:pt>
                <c:pt idx="916">
                  <c:v>104.25</c:v>
                </c:pt>
                <c:pt idx="917">
                  <c:v>105.5</c:v>
                </c:pt>
                <c:pt idx="918">
                  <c:v>105.85</c:v>
                </c:pt>
                <c:pt idx="919">
                  <c:v>106.55</c:v>
                </c:pt>
                <c:pt idx="920">
                  <c:v>108.55</c:v>
                </c:pt>
                <c:pt idx="921">
                  <c:v>108.7</c:v>
                </c:pt>
                <c:pt idx="922">
                  <c:v>107.55</c:v>
                </c:pt>
                <c:pt idx="923">
                  <c:v>104.7</c:v>
                </c:pt>
                <c:pt idx="924">
                  <c:v>106.1</c:v>
                </c:pt>
                <c:pt idx="925">
                  <c:v>106.7</c:v>
                </c:pt>
                <c:pt idx="926">
                  <c:v>104.75</c:v>
                </c:pt>
                <c:pt idx="927">
                  <c:v>102</c:v>
                </c:pt>
                <c:pt idx="928">
                  <c:v>101.25</c:v>
                </c:pt>
                <c:pt idx="929">
                  <c:v>101.2</c:v>
                </c:pt>
                <c:pt idx="930">
                  <c:v>101.55</c:v>
                </c:pt>
                <c:pt idx="931">
                  <c:v>101.6</c:v>
                </c:pt>
                <c:pt idx="932">
                  <c:v>104.2</c:v>
                </c:pt>
                <c:pt idx="933">
                  <c:v>101.2</c:v>
                </c:pt>
                <c:pt idx="934">
                  <c:v>101.2</c:v>
                </c:pt>
                <c:pt idx="935">
                  <c:v>100.2</c:v>
                </c:pt>
                <c:pt idx="936">
                  <c:v>100.9</c:v>
                </c:pt>
                <c:pt idx="937">
                  <c:v>100.05</c:v>
                </c:pt>
                <c:pt idx="938">
                  <c:v>100.65</c:v>
                </c:pt>
                <c:pt idx="939">
                  <c:v>99.55</c:v>
                </c:pt>
                <c:pt idx="940">
                  <c:v>100.1</c:v>
                </c:pt>
                <c:pt idx="941">
                  <c:v>100.1</c:v>
                </c:pt>
                <c:pt idx="942">
                  <c:v>100.55</c:v>
                </c:pt>
                <c:pt idx="943">
                  <c:v>100.35</c:v>
                </c:pt>
                <c:pt idx="944">
                  <c:v>103.2</c:v>
                </c:pt>
                <c:pt idx="945">
                  <c:v>103.3</c:v>
                </c:pt>
                <c:pt idx="946">
                  <c:v>103.55</c:v>
                </c:pt>
                <c:pt idx="947">
                  <c:v>101.15</c:v>
                </c:pt>
                <c:pt idx="948">
                  <c:v>98.35</c:v>
                </c:pt>
                <c:pt idx="949">
                  <c:v>99.3</c:v>
                </c:pt>
                <c:pt idx="950">
                  <c:v>96.85</c:v>
                </c:pt>
                <c:pt idx="951">
                  <c:v>95.2</c:v>
                </c:pt>
                <c:pt idx="952">
                  <c:v>97.65</c:v>
                </c:pt>
                <c:pt idx="953">
                  <c:v>99.85</c:v>
                </c:pt>
                <c:pt idx="954">
                  <c:v>104.3</c:v>
                </c:pt>
                <c:pt idx="955">
                  <c:v>103.6</c:v>
                </c:pt>
                <c:pt idx="956">
                  <c:v>104.45</c:v>
                </c:pt>
                <c:pt idx="957">
                  <c:v>105.8</c:v>
                </c:pt>
                <c:pt idx="958">
                  <c:v>103.1</c:v>
                </c:pt>
                <c:pt idx="959">
                  <c:v>105.7</c:v>
                </c:pt>
                <c:pt idx="960">
                  <c:v>107</c:v>
                </c:pt>
                <c:pt idx="961">
                  <c:v>109.15</c:v>
                </c:pt>
                <c:pt idx="962">
                  <c:v>107.75</c:v>
                </c:pt>
                <c:pt idx="963">
                  <c:v>107.75</c:v>
                </c:pt>
                <c:pt idx="964">
                  <c:v>105.7</c:v>
                </c:pt>
                <c:pt idx="965">
                  <c:v>105.85</c:v>
                </c:pt>
                <c:pt idx="966">
                  <c:v>107.6</c:v>
                </c:pt>
                <c:pt idx="967">
                  <c:v>108.6</c:v>
                </c:pt>
                <c:pt idx="968">
                  <c:v>106.9</c:v>
                </c:pt>
                <c:pt idx="969">
                  <c:v>105.5</c:v>
                </c:pt>
                <c:pt idx="970">
                  <c:v>106.4</c:v>
                </c:pt>
                <c:pt idx="971">
                  <c:v>108.3</c:v>
                </c:pt>
                <c:pt idx="972">
                  <c:v>104.85</c:v>
                </c:pt>
                <c:pt idx="973">
                  <c:v>107.35</c:v>
                </c:pt>
                <c:pt idx="974">
                  <c:v>106.25</c:v>
                </c:pt>
                <c:pt idx="975">
                  <c:v>106.55</c:v>
                </c:pt>
                <c:pt idx="976">
                  <c:v>107.6</c:v>
                </c:pt>
                <c:pt idx="977">
                  <c:v>105.05</c:v>
                </c:pt>
                <c:pt idx="978">
                  <c:v>110.05</c:v>
                </c:pt>
                <c:pt idx="979">
                  <c:v>112.55</c:v>
                </c:pt>
                <c:pt idx="980">
                  <c:v>112.5</c:v>
                </c:pt>
                <c:pt idx="981">
                  <c:v>113</c:v>
                </c:pt>
                <c:pt idx="982">
                  <c:v>112.65</c:v>
                </c:pt>
                <c:pt idx="983">
                  <c:v>109.1</c:v>
                </c:pt>
                <c:pt idx="984">
                  <c:v>109.2</c:v>
                </c:pt>
                <c:pt idx="985">
                  <c:v>107.2</c:v>
                </c:pt>
                <c:pt idx="986">
                  <c:v>107.35</c:v>
                </c:pt>
                <c:pt idx="987">
                  <c:v>107.7</c:v>
                </c:pt>
                <c:pt idx="988">
                  <c:v>107.05</c:v>
                </c:pt>
                <c:pt idx="989">
                  <c:v>107</c:v>
                </c:pt>
              </c:numCache>
            </c:numRef>
          </c:val>
          <c:smooth val="0"/>
          <c:extLst>
            <c:ext xmlns:c16="http://schemas.microsoft.com/office/drawing/2014/chart" uri="{C3380CC4-5D6E-409C-BE32-E72D297353CC}">
              <c16:uniqueId val="{00000000-9315-4048-B171-DA70DB2D8B4F}"/>
            </c:ext>
          </c:extLst>
        </c:ser>
        <c:dLbls>
          <c:showLegendKey val="0"/>
          <c:showVal val="0"/>
          <c:showCatName val="0"/>
          <c:showSerName val="0"/>
          <c:showPercent val="0"/>
          <c:showBubbleSize val="0"/>
        </c:dLbls>
        <c:smooth val="0"/>
        <c:axId val="384564352"/>
        <c:axId val="1801374383"/>
      </c:lineChart>
      <c:dateAx>
        <c:axId val="384564352"/>
        <c:scaling>
          <c:orientation val="minMax"/>
        </c:scaling>
        <c:delete val="1"/>
        <c:axPos val="b"/>
        <c:numFmt formatCode="m/d/yyyy" sourceLinked="1"/>
        <c:majorTickMark val="out"/>
        <c:minorTickMark val="none"/>
        <c:tickLblPos val="nextTo"/>
        <c:crossAx val="1801374383"/>
        <c:crosses val="autoZero"/>
        <c:auto val="1"/>
        <c:lblOffset val="100"/>
        <c:baseTimeUnit val="days"/>
      </c:dateAx>
      <c:valAx>
        <c:axId val="180137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64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5Y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Sheet3!$C$1</c:f>
              <c:strCache>
                <c:ptCount val="1"/>
                <c:pt idx="0">
                  <c:v>Vol.</c:v>
                </c:pt>
              </c:strCache>
            </c:strRef>
          </c:tx>
          <c:spPr>
            <a:ln w="28575" cap="rnd">
              <a:solidFill>
                <a:srgbClr val="002060"/>
              </a:solidFill>
              <a:round/>
            </a:ln>
            <a:effectLst/>
          </c:spPr>
          <c:marker>
            <c:symbol val="none"/>
          </c:marker>
          <c:cat>
            <c:numRef>
              <c:f>Sheet3!$A$2:$A$991</c:f>
              <c:numCache>
                <c:formatCode>m/d/yyyy</c:formatCode>
                <c:ptCount val="990"/>
                <c:pt idx="0">
                  <c:v>46234</c:v>
                </c:pt>
                <c:pt idx="1">
                  <c:v>46233</c:v>
                </c:pt>
                <c:pt idx="2">
                  <c:v>46232</c:v>
                </c:pt>
                <c:pt idx="3">
                  <c:v>46231</c:v>
                </c:pt>
                <c:pt idx="4">
                  <c:v>46230</c:v>
                </c:pt>
                <c:pt idx="5">
                  <c:v>46227</c:v>
                </c:pt>
                <c:pt idx="6">
                  <c:v>46226</c:v>
                </c:pt>
                <c:pt idx="7">
                  <c:v>46225</c:v>
                </c:pt>
                <c:pt idx="8">
                  <c:v>46224</c:v>
                </c:pt>
                <c:pt idx="9">
                  <c:v>46223</c:v>
                </c:pt>
                <c:pt idx="10">
                  <c:v>46220</c:v>
                </c:pt>
                <c:pt idx="11">
                  <c:v>46219</c:v>
                </c:pt>
                <c:pt idx="12">
                  <c:v>46218</c:v>
                </c:pt>
                <c:pt idx="13">
                  <c:v>46217</c:v>
                </c:pt>
                <c:pt idx="14">
                  <c:v>46216</c:v>
                </c:pt>
                <c:pt idx="15">
                  <c:v>46213</c:v>
                </c:pt>
                <c:pt idx="16">
                  <c:v>46212</c:v>
                </c:pt>
                <c:pt idx="17">
                  <c:v>46211</c:v>
                </c:pt>
                <c:pt idx="18">
                  <c:v>46210</c:v>
                </c:pt>
                <c:pt idx="19">
                  <c:v>46209</c:v>
                </c:pt>
                <c:pt idx="20">
                  <c:v>46206</c:v>
                </c:pt>
                <c:pt idx="21">
                  <c:v>46205</c:v>
                </c:pt>
                <c:pt idx="22">
                  <c:v>46204</c:v>
                </c:pt>
                <c:pt idx="23">
                  <c:v>46203</c:v>
                </c:pt>
                <c:pt idx="24">
                  <c:v>46202</c:v>
                </c:pt>
                <c:pt idx="25">
                  <c:v>46198</c:v>
                </c:pt>
                <c:pt idx="26">
                  <c:v>46197</c:v>
                </c:pt>
                <c:pt idx="27">
                  <c:v>46196</c:v>
                </c:pt>
                <c:pt idx="28">
                  <c:v>46195</c:v>
                </c:pt>
                <c:pt idx="29">
                  <c:v>46192</c:v>
                </c:pt>
                <c:pt idx="30">
                  <c:v>46191</c:v>
                </c:pt>
                <c:pt idx="31">
                  <c:v>46190</c:v>
                </c:pt>
                <c:pt idx="32">
                  <c:v>46189</c:v>
                </c:pt>
                <c:pt idx="33">
                  <c:v>46188</c:v>
                </c:pt>
                <c:pt idx="34">
                  <c:v>46185</c:v>
                </c:pt>
                <c:pt idx="35">
                  <c:v>46184</c:v>
                </c:pt>
                <c:pt idx="36">
                  <c:v>46183</c:v>
                </c:pt>
                <c:pt idx="37">
                  <c:v>46182</c:v>
                </c:pt>
                <c:pt idx="38">
                  <c:v>46181</c:v>
                </c:pt>
                <c:pt idx="39">
                  <c:v>46178</c:v>
                </c:pt>
                <c:pt idx="40">
                  <c:v>46177</c:v>
                </c:pt>
                <c:pt idx="41">
                  <c:v>46176</c:v>
                </c:pt>
                <c:pt idx="42">
                  <c:v>46175</c:v>
                </c:pt>
                <c:pt idx="43">
                  <c:v>46174</c:v>
                </c:pt>
                <c:pt idx="44">
                  <c:v>46171</c:v>
                </c:pt>
                <c:pt idx="45">
                  <c:v>46169</c:v>
                </c:pt>
                <c:pt idx="46">
                  <c:v>46168</c:v>
                </c:pt>
                <c:pt idx="47">
                  <c:v>46167</c:v>
                </c:pt>
                <c:pt idx="48">
                  <c:v>46164</c:v>
                </c:pt>
                <c:pt idx="49">
                  <c:v>46163</c:v>
                </c:pt>
                <c:pt idx="50">
                  <c:v>46162</c:v>
                </c:pt>
                <c:pt idx="51">
                  <c:v>46161</c:v>
                </c:pt>
                <c:pt idx="52">
                  <c:v>46160</c:v>
                </c:pt>
                <c:pt idx="53">
                  <c:v>46157</c:v>
                </c:pt>
                <c:pt idx="54">
                  <c:v>46156</c:v>
                </c:pt>
                <c:pt idx="55">
                  <c:v>46155</c:v>
                </c:pt>
                <c:pt idx="56">
                  <c:v>46154</c:v>
                </c:pt>
                <c:pt idx="57">
                  <c:v>46153</c:v>
                </c:pt>
                <c:pt idx="58">
                  <c:v>46150</c:v>
                </c:pt>
                <c:pt idx="59">
                  <c:v>46149</c:v>
                </c:pt>
                <c:pt idx="60">
                  <c:v>46148</c:v>
                </c:pt>
                <c:pt idx="61">
                  <c:v>46147</c:v>
                </c:pt>
                <c:pt idx="62">
                  <c:v>46146</c:v>
                </c:pt>
                <c:pt idx="63">
                  <c:v>46142</c:v>
                </c:pt>
                <c:pt idx="64">
                  <c:v>46141</c:v>
                </c:pt>
                <c:pt idx="65">
                  <c:v>46140</c:v>
                </c:pt>
                <c:pt idx="66">
                  <c:v>46139</c:v>
                </c:pt>
                <c:pt idx="67">
                  <c:v>46136</c:v>
                </c:pt>
                <c:pt idx="68">
                  <c:v>46135</c:v>
                </c:pt>
                <c:pt idx="69">
                  <c:v>46134</c:v>
                </c:pt>
                <c:pt idx="70">
                  <c:v>46133</c:v>
                </c:pt>
                <c:pt idx="71">
                  <c:v>46132</c:v>
                </c:pt>
                <c:pt idx="72">
                  <c:v>46129</c:v>
                </c:pt>
                <c:pt idx="73">
                  <c:v>46128</c:v>
                </c:pt>
                <c:pt idx="74">
                  <c:v>46127</c:v>
                </c:pt>
                <c:pt idx="75">
                  <c:v>46125</c:v>
                </c:pt>
                <c:pt idx="76">
                  <c:v>46122</c:v>
                </c:pt>
                <c:pt idx="77">
                  <c:v>46121</c:v>
                </c:pt>
                <c:pt idx="78">
                  <c:v>46120</c:v>
                </c:pt>
                <c:pt idx="79">
                  <c:v>46119</c:v>
                </c:pt>
                <c:pt idx="80">
                  <c:v>46118</c:v>
                </c:pt>
                <c:pt idx="81">
                  <c:v>46114</c:v>
                </c:pt>
                <c:pt idx="82">
                  <c:v>46113</c:v>
                </c:pt>
                <c:pt idx="83">
                  <c:v>46111</c:v>
                </c:pt>
                <c:pt idx="84">
                  <c:v>46108</c:v>
                </c:pt>
                <c:pt idx="85">
                  <c:v>46106</c:v>
                </c:pt>
                <c:pt idx="86">
                  <c:v>46105</c:v>
                </c:pt>
                <c:pt idx="87">
                  <c:v>46104</c:v>
                </c:pt>
                <c:pt idx="88">
                  <c:v>46101</c:v>
                </c:pt>
                <c:pt idx="89">
                  <c:v>46100</c:v>
                </c:pt>
                <c:pt idx="90">
                  <c:v>46099</c:v>
                </c:pt>
                <c:pt idx="91">
                  <c:v>46098</c:v>
                </c:pt>
                <c:pt idx="92">
                  <c:v>46097</c:v>
                </c:pt>
                <c:pt idx="93">
                  <c:v>46094</c:v>
                </c:pt>
                <c:pt idx="94">
                  <c:v>46093</c:v>
                </c:pt>
                <c:pt idx="95">
                  <c:v>46092</c:v>
                </c:pt>
                <c:pt idx="96">
                  <c:v>46091</c:v>
                </c:pt>
                <c:pt idx="97">
                  <c:v>46090</c:v>
                </c:pt>
                <c:pt idx="98">
                  <c:v>46087</c:v>
                </c:pt>
                <c:pt idx="99">
                  <c:v>46086</c:v>
                </c:pt>
                <c:pt idx="100">
                  <c:v>46085</c:v>
                </c:pt>
                <c:pt idx="101">
                  <c:v>46083</c:v>
                </c:pt>
                <c:pt idx="102">
                  <c:v>46080</c:v>
                </c:pt>
                <c:pt idx="103">
                  <c:v>46079</c:v>
                </c:pt>
                <c:pt idx="104">
                  <c:v>46078</c:v>
                </c:pt>
                <c:pt idx="105">
                  <c:v>46077</c:v>
                </c:pt>
                <c:pt idx="106">
                  <c:v>46076</c:v>
                </c:pt>
                <c:pt idx="107">
                  <c:v>46073</c:v>
                </c:pt>
                <c:pt idx="108">
                  <c:v>46072</c:v>
                </c:pt>
                <c:pt idx="109">
                  <c:v>46071</c:v>
                </c:pt>
                <c:pt idx="110">
                  <c:v>46070</c:v>
                </c:pt>
                <c:pt idx="111">
                  <c:v>46069</c:v>
                </c:pt>
                <c:pt idx="112">
                  <c:v>46066</c:v>
                </c:pt>
                <c:pt idx="113">
                  <c:v>46065</c:v>
                </c:pt>
                <c:pt idx="114">
                  <c:v>46064</c:v>
                </c:pt>
                <c:pt idx="115">
                  <c:v>46063</c:v>
                </c:pt>
                <c:pt idx="116">
                  <c:v>46062</c:v>
                </c:pt>
                <c:pt idx="117">
                  <c:v>46059</c:v>
                </c:pt>
                <c:pt idx="118">
                  <c:v>46058</c:v>
                </c:pt>
                <c:pt idx="119">
                  <c:v>46057</c:v>
                </c:pt>
                <c:pt idx="120">
                  <c:v>46056</c:v>
                </c:pt>
                <c:pt idx="121">
                  <c:v>46055</c:v>
                </c:pt>
                <c:pt idx="122">
                  <c:v>46054</c:v>
                </c:pt>
                <c:pt idx="123">
                  <c:v>46052</c:v>
                </c:pt>
                <c:pt idx="124">
                  <c:v>46051</c:v>
                </c:pt>
                <c:pt idx="125">
                  <c:v>46050</c:v>
                </c:pt>
                <c:pt idx="126">
                  <c:v>46049</c:v>
                </c:pt>
                <c:pt idx="127">
                  <c:v>46045</c:v>
                </c:pt>
                <c:pt idx="128">
                  <c:v>46044</c:v>
                </c:pt>
                <c:pt idx="129">
                  <c:v>46043</c:v>
                </c:pt>
                <c:pt idx="130">
                  <c:v>46042</c:v>
                </c:pt>
                <c:pt idx="131">
                  <c:v>46041</c:v>
                </c:pt>
                <c:pt idx="132">
                  <c:v>46038</c:v>
                </c:pt>
                <c:pt idx="133">
                  <c:v>46036</c:v>
                </c:pt>
                <c:pt idx="134">
                  <c:v>46035</c:v>
                </c:pt>
                <c:pt idx="135">
                  <c:v>46034</c:v>
                </c:pt>
                <c:pt idx="136">
                  <c:v>46031</c:v>
                </c:pt>
                <c:pt idx="137">
                  <c:v>46030</c:v>
                </c:pt>
                <c:pt idx="138">
                  <c:v>46029</c:v>
                </c:pt>
                <c:pt idx="139">
                  <c:v>46028</c:v>
                </c:pt>
                <c:pt idx="140">
                  <c:v>46027</c:v>
                </c:pt>
                <c:pt idx="141">
                  <c:v>46024</c:v>
                </c:pt>
                <c:pt idx="142">
                  <c:v>46023</c:v>
                </c:pt>
                <c:pt idx="143">
                  <c:v>46022</c:v>
                </c:pt>
                <c:pt idx="144">
                  <c:v>46021</c:v>
                </c:pt>
                <c:pt idx="145">
                  <c:v>46020</c:v>
                </c:pt>
                <c:pt idx="146">
                  <c:v>46017</c:v>
                </c:pt>
                <c:pt idx="147">
                  <c:v>46015</c:v>
                </c:pt>
                <c:pt idx="148">
                  <c:v>46014</c:v>
                </c:pt>
                <c:pt idx="149">
                  <c:v>46013</c:v>
                </c:pt>
                <c:pt idx="150">
                  <c:v>46010</c:v>
                </c:pt>
                <c:pt idx="151">
                  <c:v>46009</c:v>
                </c:pt>
                <c:pt idx="152">
                  <c:v>46008</c:v>
                </c:pt>
                <c:pt idx="153">
                  <c:v>46007</c:v>
                </c:pt>
                <c:pt idx="154">
                  <c:v>46006</c:v>
                </c:pt>
                <c:pt idx="155">
                  <c:v>46003</c:v>
                </c:pt>
                <c:pt idx="156">
                  <c:v>46002</c:v>
                </c:pt>
                <c:pt idx="157">
                  <c:v>46001</c:v>
                </c:pt>
                <c:pt idx="158">
                  <c:v>46000</c:v>
                </c:pt>
                <c:pt idx="159">
                  <c:v>45999</c:v>
                </c:pt>
                <c:pt idx="160">
                  <c:v>45996</c:v>
                </c:pt>
                <c:pt idx="161">
                  <c:v>45995</c:v>
                </c:pt>
                <c:pt idx="162">
                  <c:v>45994</c:v>
                </c:pt>
                <c:pt idx="163">
                  <c:v>45993</c:v>
                </c:pt>
                <c:pt idx="164">
                  <c:v>45992</c:v>
                </c:pt>
                <c:pt idx="165">
                  <c:v>45989</c:v>
                </c:pt>
                <c:pt idx="166">
                  <c:v>45988</c:v>
                </c:pt>
                <c:pt idx="167">
                  <c:v>45987</c:v>
                </c:pt>
                <c:pt idx="168">
                  <c:v>45986</c:v>
                </c:pt>
                <c:pt idx="169">
                  <c:v>45985</c:v>
                </c:pt>
                <c:pt idx="170">
                  <c:v>45982</c:v>
                </c:pt>
                <c:pt idx="171">
                  <c:v>45981</c:v>
                </c:pt>
                <c:pt idx="172">
                  <c:v>45980</c:v>
                </c:pt>
                <c:pt idx="173">
                  <c:v>45979</c:v>
                </c:pt>
                <c:pt idx="174">
                  <c:v>45978</c:v>
                </c:pt>
                <c:pt idx="175">
                  <c:v>45975</c:v>
                </c:pt>
                <c:pt idx="176">
                  <c:v>45974</c:v>
                </c:pt>
                <c:pt idx="177">
                  <c:v>45973</c:v>
                </c:pt>
                <c:pt idx="178">
                  <c:v>45972</c:v>
                </c:pt>
                <c:pt idx="179">
                  <c:v>45971</c:v>
                </c:pt>
                <c:pt idx="180">
                  <c:v>45968</c:v>
                </c:pt>
                <c:pt idx="181">
                  <c:v>45967</c:v>
                </c:pt>
                <c:pt idx="182">
                  <c:v>45965</c:v>
                </c:pt>
                <c:pt idx="183">
                  <c:v>45964</c:v>
                </c:pt>
                <c:pt idx="184">
                  <c:v>45961</c:v>
                </c:pt>
                <c:pt idx="185">
                  <c:v>45960</c:v>
                </c:pt>
                <c:pt idx="186">
                  <c:v>45959</c:v>
                </c:pt>
                <c:pt idx="187">
                  <c:v>45958</c:v>
                </c:pt>
                <c:pt idx="188">
                  <c:v>45957</c:v>
                </c:pt>
                <c:pt idx="189">
                  <c:v>45954</c:v>
                </c:pt>
                <c:pt idx="190">
                  <c:v>45953</c:v>
                </c:pt>
                <c:pt idx="191">
                  <c:v>45951</c:v>
                </c:pt>
                <c:pt idx="192">
                  <c:v>45950</c:v>
                </c:pt>
                <c:pt idx="193">
                  <c:v>45947</c:v>
                </c:pt>
                <c:pt idx="194">
                  <c:v>45946</c:v>
                </c:pt>
                <c:pt idx="195">
                  <c:v>45945</c:v>
                </c:pt>
                <c:pt idx="196">
                  <c:v>45944</c:v>
                </c:pt>
                <c:pt idx="197">
                  <c:v>45943</c:v>
                </c:pt>
                <c:pt idx="198">
                  <c:v>45940</c:v>
                </c:pt>
                <c:pt idx="199">
                  <c:v>45939</c:v>
                </c:pt>
                <c:pt idx="200">
                  <c:v>45938</c:v>
                </c:pt>
                <c:pt idx="201">
                  <c:v>45937</c:v>
                </c:pt>
                <c:pt idx="202">
                  <c:v>45936</c:v>
                </c:pt>
                <c:pt idx="203">
                  <c:v>45933</c:v>
                </c:pt>
                <c:pt idx="204">
                  <c:v>45931</c:v>
                </c:pt>
                <c:pt idx="205">
                  <c:v>45930</c:v>
                </c:pt>
                <c:pt idx="206">
                  <c:v>45929</c:v>
                </c:pt>
                <c:pt idx="207">
                  <c:v>45926</c:v>
                </c:pt>
                <c:pt idx="208">
                  <c:v>45925</c:v>
                </c:pt>
                <c:pt idx="209">
                  <c:v>45924</c:v>
                </c:pt>
                <c:pt idx="210">
                  <c:v>45923</c:v>
                </c:pt>
                <c:pt idx="211">
                  <c:v>45922</c:v>
                </c:pt>
                <c:pt idx="212">
                  <c:v>45919</c:v>
                </c:pt>
                <c:pt idx="213">
                  <c:v>45918</c:v>
                </c:pt>
                <c:pt idx="214">
                  <c:v>45917</c:v>
                </c:pt>
                <c:pt idx="215">
                  <c:v>45916</c:v>
                </c:pt>
                <c:pt idx="216">
                  <c:v>45915</c:v>
                </c:pt>
                <c:pt idx="217">
                  <c:v>45912</c:v>
                </c:pt>
                <c:pt idx="218">
                  <c:v>45911</c:v>
                </c:pt>
                <c:pt idx="219">
                  <c:v>45910</c:v>
                </c:pt>
                <c:pt idx="220">
                  <c:v>45909</c:v>
                </c:pt>
                <c:pt idx="221">
                  <c:v>45908</c:v>
                </c:pt>
                <c:pt idx="222">
                  <c:v>45905</c:v>
                </c:pt>
                <c:pt idx="223">
                  <c:v>45904</c:v>
                </c:pt>
                <c:pt idx="224">
                  <c:v>45903</c:v>
                </c:pt>
                <c:pt idx="225">
                  <c:v>45902</c:v>
                </c:pt>
                <c:pt idx="226">
                  <c:v>45901</c:v>
                </c:pt>
                <c:pt idx="227">
                  <c:v>45898</c:v>
                </c:pt>
                <c:pt idx="228">
                  <c:v>45897</c:v>
                </c:pt>
                <c:pt idx="229">
                  <c:v>45895</c:v>
                </c:pt>
                <c:pt idx="230">
                  <c:v>45894</c:v>
                </c:pt>
                <c:pt idx="231">
                  <c:v>45891</c:v>
                </c:pt>
                <c:pt idx="232">
                  <c:v>45890</c:v>
                </c:pt>
                <c:pt idx="233">
                  <c:v>45889</c:v>
                </c:pt>
                <c:pt idx="234">
                  <c:v>45888</c:v>
                </c:pt>
                <c:pt idx="235">
                  <c:v>45887</c:v>
                </c:pt>
                <c:pt idx="236">
                  <c:v>45883</c:v>
                </c:pt>
                <c:pt idx="237">
                  <c:v>45882</c:v>
                </c:pt>
                <c:pt idx="238">
                  <c:v>45881</c:v>
                </c:pt>
                <c:pt idx="239">
                  <c:v>45880</c:v>
                </c:pt>
                <c:pt idx="240">
                  <c:v>45877</c:v>
                </c:pt>
                <c:pt idx="241">
                  <c:v>45876</c:v>
                </c:pt>
                <c:pt idx="242">
                  <c:v>45875</c:v>
                </c:pt>
                <c:pt idx="243">
                  <c:v>45874</c:v>
                </c:pt>
                <c:pt idx="244">
                  <c:v>45873</c:v>
                </c:pt>
                <c:pt idx="245">
                  <c:v>45870</c:v>
                </c:pt>
                <c:pt idx="246">
                  <c:v>45869</c:v>
                </c:pt>
                <c:pt idx="247">
                  <c:v>45868</c:v>
                </c:pt>
                <c:pt idx="248">
                  <c:v>45867</c:v>
                </c:pt>
                <c:pt idx="249">
                  <c:v>45866</c:v>
                </c:pt>
                <c:pt idx="250">
                  <c:v>45863</c:v>
                </c:pt>
                <c:pt idx="251">
                  <c:v>45862</c:v>
                </c:pt>
                <c:pt idx="252">
                  <c:v>45861</c:v>
                </c:pt>
                <c:pt idx="253">
                  <c:v>45860</c:v>
                </c:pt>
                <c:pt idx="254">
                  <c:v>45859</c:v>
                </c:pt>
                <c:pt idx="255">
                  <c:v>45856</c:v>
                </c:pt>
                <c:pt idx="256">
                  <c:v>45855</c:v>
                </c:pt>
                <c:pt idx="257">
                  <c:v>45854</c:v>
                </c:pt>
                <c:pt idx="258">
                  <c:v>45853</c:v>
                </c:pt>
                <c:pt idx="259">
                  <c:v>45852</c:v>
                </c:pt>
                <c:pt idx="260">
                  <c:v>45849</c:v>
                </c:pt>
                <c:pt idx="261">
                  <c:v>45848</c:v>
                </c:pt>
                <c:pt idx="262">
                  <c:v>45847</c:v>
                </c:pt>
                <c:pt idx="263">
                  <c:v>45846</c:v>
                </c:pt>
                <c:pt idx="264">
                  <c:v>45845</c:v>
                </c:pt>
                <c:pt idx="265">
                  <c:v>45842</c:v>
                </c:pt>
                <c:pt idx="266">
                  <c:v>45841</c:v>
                </c:pt>
                <c:pt idx="267">
                  <c:v>45840</c:v>
                </c:pt>
                <c:pt idx="268">
                  <c:v>45839</c:v>
                </c:pt>
                <c:pt idx="269">
                  <c:v>45838</c:v>
                </c:pt>
                <c:pt idx="270">
                  <c:v>45835</c:v>
                </c:pt>
                <c:pt idx="271">
                  <c:v>45834</c:v>
                </c:pt>
                <c:pt idx="272">
                  <c:v>45833</c:v>
                </c:pt>
                <c:pt idx="273">
                  <c:v>45832</c:v>
                </c:pt>
                <c:pt idx="274">
                  <c:v>45831</c:v>
                </c:pt>
                <c:pt idx="275">
                  <c:v>45828</c:v>
                </c:pt>
                <c:pt idx="276">
                  <c:v>45827</c:v>
                </c:pt>
                <c:pt idx="277">
                  <c:v>45826</c:v>
                </c:pt>
                <c:pt idx="278">
                  <c:v>45825</c:v>
                </c:pt>
                <c:pt idx="279">
                  <c:v>45824</c:v>
                </c:pt>
                <c:pt idx="280">
                  <c:v>45821</c:v>
                </c:pt>
                <c:pt idx="281">
                  <c:v>45820</c:v>
                </c:pt>
                <c:pt idx="282">
                  <c:v>45819</c:v>
                </c:pt>
                <c:pt idx="283">
                  <c:v>45818</c:v>
                </c:pt>
                <c:pt idx="284">
                  <c:v>45817</c:v>
                </c:pt>
                <c:pt idx="285">
                  <c:v>45814</c:v>
                </c:pt>
                <c:pt idx="286">
                  <c:v>45813</c:v>
                </c:pt>
                <c:pt idx="287">
                  <c:v>45812</c:v>
                </c:pt>
                <c:pt idx="288">
                  <c:v>45811</c:v>
                </c:pt>
                <c:pt idx="289">
                  <c:v>45810</c:v>
                </c:pt>
                <c:pt idx="290">
                  <c:v>45807</c:v>
                </c:pt>
                <c:pt idx="291">
                  <c:v>45806</c:v>
                </c:pt>
                <c:pt idx="292">
                  <c:v>45805</c:v>
                </c:pt>
                <c:pt idx="293">
                  <c:v>45804</c:v>
                </c:pt>
                <c:pt idx="294">
                  <c:v>45803</c:v>
                </c:pt>
                <c:pt idx="295">
                  <c:v>45800</c:v>
                </c:pt>
                <c:pt idx="296">
                  <c:v>45799</c:v>
                </c:pt>
                <c:pt idx="297">
                  <c:v>45798</c:v>
                </c:pt>
                <c:pt idx="298">
                  <c:v>45797</c:v>
                </c:pt>
                <c:pt idx="299">
                  <c:v>45796</c:v>
                </c:pt>
                <c:pt idx="300">
                  <c:v>45793</c:v>
                </c:pt>
                <c:pt idx="301">
                  <c:v>45792</c:v>
                </c:pt>
                <c:pt idx="302">
                  <c:v>45791</c:v>
                </c:pt>
                <c:pt idx="303">
                  <c:v>45790</c:v>
                </c:pt>
                <c:pt idx="304">
                  <c:v>45789</c:v>
                </c:pt>
                <c:pt idx="305">
                  <c:v>45786</c:v>
                </c:pt>
                <c:pt idx="306">
                  <c:v>45785</c:v>
                </c:pt>
                <c:pt idx="307">
                  <c:v>45784</c:v>
                </c:pt>
                <c:pt idx="308">
                  <c:v>45783</c:v>
                </c:pt>
                <c:pt idx="309">
                  <c:v>45782</c:v>
                </c:pt>
                <c:pt idx="310">
                  <c:v>45779</c:v>
                </c:pt>
                <c:pt idx="311">
                  <c:v>45777</c:v>
                </c:pt>
                <c:pt idx="312">
                  <c:v>45776</c:v>
                </c:pt>
                <c:pt idx="313">
                  <c:v>45775</c:v>
                </c:pt>
                <c:pt idx="314">
                  <c:v>45772</c:v>
                </c:pt>
                <c:pt idx="315">
                  <c:v>45771</c:v>
                </c:pt>
                <c:pt idx="316">
                  <c:v>45770</c:v>
                </c:pt>
                <c:pt idx="317">
                  <c:v>45769</c:v>
                </c:pt>
                <c:pt idx="318">
                  <c:v>45768</c:v>
                </c:pt>
                <c:pt idx="319">
                  <c:v>45764</c:v>
                </c:pt>
                <c:pt idx="320">
                  <c:v>45763</c:v>
                </c:pt>
                <c:pt idx="321">
                  <c:v>45762</c:v>
                </c:pt>
                <c:pt idx="322">
                  <c:v>45758</c:v>
                </c:pt>
                <c:pt idx="323">
                  <c:v>45756</c:v>
                </c:pt>
                <c:pt idx="324">
                  <c:v>45755</c:v>
                </c:pt>
                <c:pt idx="325">
                  <c:v>45754</c:v>
                </c:pt>
                <c:pt idx="326">
                  <c:v>45751</c:v>
                </c:pt>
                <c:pt idx="327">
                  <c:v>45750</c:v>
                </c:pt>
                <c:pt idx="328">
                  <c:v>45749</c:v>
                </c:pt>
                <c:pt idx="329">
                  <c:v>45748</c:v>
                </c:pt>
                <c:pt idx="330">
                  <c:v>45744</c:v>
                </c:pt>
                <c:pt idx="331">
                  <c:v>45743</c:v>
                </c:pt>
                <c:pt idx="332">
                  <c:v>45742</c:v>
                </c:pt>
                <c:pt idx="333">
                  <c:v>45741</c:v>
                </c:pt>
                <c:pt idx="334">
                  <c:v>45740</c:v>
                </c:pt>
                <c:pt idx="335">
                  <c:v>45737</c:v>
                </c:pt>
                <c:pt idx="336">
                  <c:v>45736</c:v>
                </c:pt>
                <c:pt idx="337">
                  <c:v>45735</c:v>
                </c:pt>
                <c:pt idx="338">
                  <c:v>45734</c:v>
                </c:pt>
                <c:pt idx="339">
                  <c:v>45733</c:v>
                </c:pt>
                <c:pt idx="340">
                  <c:v>45729</c:v>
                </c:pt>
                <c:pt idx="341">
                  <c:v>45728</c:v>
                </c:pt>
                <c:pt idx="342">
                  <c:v>45727</c:v>
                </c:pt>
                <c:pt idx="343">
                  <c:v>45726</c:v>
                </c:pt>
                <c:pt idx="344">
                  <c:v>45723</c:v>
                </c:pt>
                <c:pt idx="345">
                  <c:v>45722</c:v>
                </c:pt>
                <c:pt idx="346">
                  <c:v>45721</c:v>
                </c:pt>
                <c:pt idx="347">
                  <c:v>45720</c:v>
                </c:pt>
                <c:pt idx="348">
                  <c:v>45719</c:v>
                </c:pt>
                <c:pt idx="349">
                  <c:v>45716</c:v>
                </c:pt>
                <c:pt idx="350">
                  <c:v>45715</c:v>
                </c:pt>
                <c:pt idx="351">
                  <c:v>45713</c:v>
                </c:pt>
                <c:pt idx="352">
                  <c:v>45712</c:v>
                </c:pt>
                <c:pt idx="353">
                  <c:v>45709</c:v>
                </c:pt>
                <c:pt idx="354">
                  <c:v>45708</c:v>
                </c:pt>
                <c:pt idx="355">
                  <c:v>45707</c:v>
                </c:pt>
                <c:pt idx="356">
                  <c:v>45706</c:v>
                </c:pt>
                <c:pt idx="357">
                  <c:v>45705</c:v>
                </c:pt>
                <c:pt idx="358">
                  <c:v>45702</c:v>
                </c:pt>
                <c:pt idx="359">
                  <c:v>45701</c:v>
                </c:pt>
                <c:pt idx="360">
                  <c:v>45700</c:v>
                </c:pt>
                <c:pt idx="361">
                  <c:v>45699</c:v>
                </c:pt>
                <c:pt idx="362">
                  <c:v>45698</c:v>
                </c:pt>
                <c:pt idx="363">
                  <c:v>45695</c:v>
                </c:pt>
                <c:pt idx="364">
                  <c:v>45694</c:v>
                </c:pt>
                <c:pt idx="365">
                  <c:v>45693</c:v>
                </c:pt>
                <c:pt idx="366">
                  <c:v>45692</c:v>
                </c:pt>
                <c:pt idx="367">
                  <c:v>45691</c:v>
                </c:pt>
                <c:pt idx="368">
                  <c:v>45689</c:v>
                </c:pt>
                <c:pt idx="369">
                  <c:v>45688</c:v>
                </c:pt>
                <c:pt idx="370">
                  <c:v>45687</c:v>
                </c:pt>
                <c:pt idx="371">
                  <c:v>45686</c:v>
                </c:pt>
                <c:pt idx="372">
                  <c:v>45685</c:v>
                </c:pt>
                <c:pt idx="373">
                  <c:v>45684</c:v>
                </c:pt>
                <c:pt idx="374">
                  <c:v>45681</c:v>
                </c:pt>
                <c:pt idx="375">
                  <c:v>45680</c:v>
                </c:pt>
                <c:pt idx="376">
                  <c:v>45679</c:v>
                </c:pt>
                <c:pt idx="377">
                  <c:v>45678</c:v>
                </c:pt>
                <c:pt idx="378">
                  <c:v>45677</c:v>
                </c:pt>
                <c:pt idx="379">
                  <c:v>45674</c:v>
                </c:pt>
                <c:pt idx="380">
                  <c:v>45673</c:v>
                </c:pt>
                <c:pt idx="381">
                  <c:v>45672</c:v>
                </c:pt>
                <c:pt idx="382">
                  <c:v>45671</c:v>
                </c:pt>
                <c:pt idx="383">
                  <c:v>45670</c:v>
                </c:pt>
                <c:pt idx="384">
                  <c:v>45667</c:v>
                </c:pt>
                <c:pt idx="385">
                  <c:v>45666</c:v>
                </c:pt>
                <c:pt idx="386">
                  <c:v>45665</c:v>
                </c:pt>
                <c:pt idx="387">
                  <c:v>45664</c:v>
                </c:pt>
                <c:pt idx="388">
                  <c:v>45663</c:v>
                </c:pt>
                <c:pt idx="389">
                  <c:v>45660</c:v>
                </c:pt>
                <c:pt idx="390">
                  <c:v>45659</c:v>
                </c:pt>
                <c:pt idx="391">
                  <c:v>45658</c:v>
                </c:pt>
                <c:pt idx="392">
                  <c:v>45657</c:v>
                </c:pt>
                <c:pt idx="393">
                  <c:v>45656</c:v>
                </c:pt>
                <c:pt idx="394">
                  <c:v>45653</c:v>
                </c:pt>
                <c:pt idx="395">
                  <c:v>45652</c:v>
                </c:pt>
                <c:pt idx="396">
                  <c:v>45650</c:v>
                </c:pt>
                <c:pt idx="397">
                  <c:v>45649</c:v>
                </c:pt>
                <c:pt idx="398">
                  <c:v>45646</c:v>
                </c:pt>
                <c:pt idx="399">
                  <c:v>45645</c:v>
                </c:pt>
                <c:pt idx="400">
                  <c:v>45644</c:v>
                </c:pt>
                <c:pt idx="401">
                  <c:v>45643</c:v>
                </c:pt>
                <c:pt idx="402">
                  <c:v>45642</c:v>
                </c:pt>
                <c:pt idx="403">
                  <c:v>45639</c:v>
                </c:pt>
                <c:pt idx="404">
                  <c:v>45638</c:v>
                </c:pt>
                <c:pt idx="405">
                  <c:v>45637</c:v>
                </c:pt>
                <c:pt idx="406">
                  <c:v>45636</c:v>
                </c:pt>
                <c:pt idx="407">
                  <c:v>45635</c:v>
                </c:pt>
                <c:pt idx="408">
                  <c:v>45632</c:v>
                </c:pt>
                <c:pt idx="409">
                  <c:v>45631</c:v>
                </c:pt>
                <c:pt idx="410">
                  <c:v>45630</c:v>
                </c:pt>
                <c:pt idx="411">
                  <c:v>45629</c:v>
                </c:pt>
                <c:pt idx="412">
                  <c:v>45628</c:v>
                </c:pt>
                <c:pt idx="413">
                  <c:v>45625</c:v>
                </c:pt>
                <c:pt idx="414">
                  <c:v>45624</c:v>
                </c:pt>
                <c:pt idx="415">
                  <c:v>45623</c:v>
                </c:pt>
                <c:pt idx="416">
                  <c:v>45622</c:v>
                </c:pt>
                <c:pt idx="417">
                  <c:v>45621</c:v>
                </c:pt>
                <c:pt idx="418">
                  <c:v>45618</c:v>
                </c:pt>
                <c:pt idx="419">
                  <c:v>45617</c:v>
                </c:pt>
                <c:pt idx="420">
                  <c:v>45615</c:v>
                </c:pt>
                <c:pt idx="421">
                  <c:v>45614</c:v>
                </c:pt>
                <c:pt idx="422">
                  <c:v>45610</c:v>
                </c:pt>
                <c:pt idx="423">
                  <c:v>45609</c:v>
                </c:pt>
                <c:pt idx="424">
                  <c:v>45608</c:v>
                </c:pt>
                <c:pt idx="425">
                  <c:v>45607</c:v>
                </c:pt>
                <c:pt idx="426">
                  <c:v>45604</c:v>
                </c:pt>
                <c:pt idx="427">
                  <c:v>45603</c:v>
                </c:pt>
                <c:pt idx="428">
                  <c:v>45602</c:v>
                </c:pt>
                <c:pt idx="429">
                  <c:v>45601</c:v>
                </c:pt>
                <c:pt idx="430">
                  <c:v>45600</c:v>
                </c:pt>
                <c:pt idx="431">
                  <c:v>45597</c:v>
                </c:pt>
                <c:pt idx="432">
                  <c:v>45596</c:v>
                </c:pt>
                <c:pt idx="433">
                  <c:v>45595</c:v>
                </c:pt>
                <c:pt idx="434">
                  <c:v>45594</c:v>
                </c:pt>
                <c:pt idx="435">
                  <c:v>45593</c:v>
                </c:pt>
                <c:pt idx="436">
                  <c:v>45590</c:v>
                </c:pt>
                <c:pt idx="437">
                  <c:v>45589</c:v>
                </c:pt>
                <c:pt idx="438">
                  <c:v>45588</c:v>
                </c:pt>
                <c:pt idx="439">
                  <c:v>45587</c:v>
                </c:pt>
                <c:pt idx="440">
                  <c:v>45586</c:v>
                </c:pt>
                <c:pt idx="441">
                  <c:v>45583</c:v>
                </c:pt>
                <c:pt idx="442">
                  <c:v>45582</c:v>
                </c:pt>
                <c:pt idx="443">
                  <c:v>45581</c:v>
                </c:pt>
                <c:pt idx="444">
                  <c:v>45580</c:v>
                </c:pt>
                <c:pt idx="445">
                  <c:v>45579</c:v>
                </c:pt>
                <c:pt idx="446">
                  <c:v>45576</c:v>
                </c:pt>
                <c:pt idx="447">
                  <c:v>45575</c:v>
                </c:pt>
                <c:pt idx="448">
                  <c:v>45574</c:v>
                </c:pt>
                <c:pt idx="449">
                  <c:v>45573</c:v>
                </c:pt>
                <c:pt idx="450">
                  <c:v>45572</c:v>
                </c:pt>
                <c:pt idx="451">
                  <c:v>45569</c:v>
                </c:pt>
                <c:pt idx="452">
                  <c:v>45568</c:v>
                </c:pt>
                <c:pt idx="453">
                  <c:v>45566</c:v>
                </c:pt>
                <c:pt idx="454">
                  <c:v>45565</c:v>
                </c:pt>
                <c:pt idx="455">
                  <c:v>45562</c:v>
                </c:pt>
                <c:pt idx="456">
                  <c:v>45561</c:v>
                </c:pt>
                <c:pt idx="457">
                  <c:v>45560</c:v>
                </c:pt>
                <c:pt idx="458">
                  <c:v>45559</c:v>
                </c:pt>
                <c:pt idx="459">
                  <c:v>45558</c:v>
                </c:pt>
                <c:pt idx="460">
                  <c:v>45555</c:v>
                </c:pt>
                <c:pt idx="461">
                  <c:v>45554</c:v>
                </c:pt>
                <c:pt idx="462">
                  <c:v>45553</c:v>
                </c:pt>
                <c:pt idx="463">
                  <c:v>45552</c:v>
                </c:pt>
                <c:pt idx="464">
                  <c:v>45551</c:v>
                </c:pt>
                <c:pt idx="465">
                  <c:v>45548</c:v>
                </c:pt>
                <c:pt idx="466">
                  <c:v>45547</c:v>
                </c:pt>
                <c:pt idx="467">
                  <c:v>45546</c:v>
                </c:pt>
                <c:pt idx="468">
                  <c:v>45545</c:v>
                </c:pt>
                <c:pt idx="469">
                  <c:v>45544</c:v>
                </c:pt>
                <c:pt idx="470">
                  <c:v>45541</c:v>
                </c:pt>
                <c:pt idx="471">
                  <c:v>45540</c:v>
                </c:pt>
                <c:pt idx="472">
                  <c:v>45539</c:v>
                </c:pt>
                <c:pt idx="473">
                  <c:v>45538</c:v>
                </c:pt>
                <c:pt idx="474">
                  <c:v>45537</c:v>
                </c:pt>
                <c:pt idx="475">
                  <c:v>45534</c:v>
                </c:pt>
                <c:pt idx="476">
                  <c:v>45533</c:v>
                </c:pt>
                <c:pt idx="477">
                  <c:v>45532</c:v>
                </c:pt>
                <c:pt idx="478">
                  <c:v>45531</c:v>
                </c:pt>
                <c:pt idx="479">
                  <c:v>45530</c:v>
                </c:pt>
                <c:pt idx="480">
                  <c:v>45527</c:v>
                </c:pt>
                <c:pt idx="481">
                  <c:v>45526</c:v>
                </c:pt>
                <c:pt idx="482">
                  <c:v>45525</c:v>
                </c:pt>
                <c:pt idx="483">
                  <c:v>45524</c:v>
                </c:pt>
                <c:pt idx="484">
                  <c:v>45523</c:v>
                </c:pt>
                <c:pt idx="485">
                  <c:v>45520</c:v>
                </c:pt>
                <c:pt idx="486">
                  <c:v>45518</c:v>
                </c:pt>
                <c:pt idx="487">
                  <c:v>45517</c:v>
                </c:pt>
                <c:pt idx="488">
                  <c:v>45516</c:v>
                </c:pt>
                <c:pt idx="489">
                  <c:v>45513</c:v>
                </c:pt>
                <c:pt idx="490">
                  <c:v>45512</c:v>
                </c:pt>
                <c:pt idx="491">
                  <c:v>45511</c:v>
                </c:pt>
                <c:pt idx="492">
                  <c:v>45510</c:v>
                </c:pt>
                <c:pt idx="493">
                  <c:v>45509</c:v>
                </c:pt>
                <c:pt idx="494">
                  <c:v>45506</c:v>
                </c:pt>
                <c:pt idx="495">
                  <c:v>45505</c:v>
                </c:pt>
                <c:pt idx="496">
                  <c:v>45504</c:v>
                </c:pt>
                <c:pt idx="497">
                  <c:v>45503</c:v>
                </c:pt>
                <c:pt idx="498">
                  <c:v>45502</c:v>
                </c:pt>
                <c:pt idx="499">
                  <c:v>45499</c:v>
                </c:pt>
                <c:pt idx="500">
                  <c:v>45498</c:v>
                </c:pt>
                <c:pt idx="501">
                  <c:v>45497</c:v>
                </c:pt>
                <c:pt idx="502">
                  <c:v>45496</c:v>
                </c:pt>
                <c:pt idx="503">
                  <c:v>45495</c:v>
                </c:pt>
                <c:pt idx="504">
                  <c:v>45492</c:v>
                </c:pt>
                <c:pt idx="505">
                  <c:v>45491</c:v>
                </c:pt>
                <c:pt idx="506">
                  <c:v>45489</c:v>
                </c:pt>
                <c:pt idx="507">
                  <c:v>45488</c:v>
                </c:pt>
                <c:pt idx="508">
                  <c:v>45485</c:v>
                </c:pt>
                <c:pt idx="509">
                  <c:v>45484</c:v>
                </c:pt>
                <c:pt idx="510">
                  <c:v>45483</c:v>
                </c:pt>
                <c:pt idx="511">
                  <c:v>45482</c:v>
                </c:pt>
                <c:pt idx="512">
                  <c:v>45481</c:v>
                </c:pt>
                <c:pt idx="513">
                  <c:v>45478</c:v>
                </c:pt>
                <c:pt idx="514">
                  <c:v>45477</c:v>
                </c:pt>
                <c:pt idx="515">
                  <c:v>45476</c:v>
                </c:pt>
                <c:pt idx="516">
                  <c:v>45475</c:v>
                </c:pt>
                <c:pt idx="517">
                  <c:v>45474</c:v>
                </c:pt>
                <c:pt idx="518">
                  <c:v>45471</c:v>
                </c:pt>
                <c:pt idx="519">
                  <c:v>45470</c:v>
                </c:pt>
                <c:pt idx="520">
                  <c:v>45469</c:v>
                </c:pt>
                <c:pt idx="521">
                  <c:v>45468</c:v>
                </c:pt>
                <c:pt idx="522">
                  <c:v>45467</c:v>
                </c:pt>
                <c:pt idx="523">
                  <c:v>45464</c:v>
                </c:pt>
                <c:pt idx="524">
                  <c:v>45463</c:v>
                </c:pt>
                <c:pt idx="525">
                  <c:v>45462</c:v>
                </c:pt>
                <c:pt idx="526">
                  <c:v>45461</c:v>
                </c:pt>
                <c:pt idx="527">
                  <c:v>45457</c:v>
                </c:pt>
                <c:pt idx="528">
                  <c:v>45456</c:v>
                </c:pt>
                <c:pt idx="529">
                  <c:v>45455</c:v>
                </c:pt>
                <c:pt idx="530">
                  <c:v>45454</c:v>
                </c:pt>
                <c:pt idx="531">
                  <c:v>45453</c:v>
                </c:pt>
                <c:pt idx="532">
                  <c:v>45450</c:v>
                </c:pt>
                <c:pt idx="533">
                  <c:v>45449</c:v>
                </c:pt>
                <c:pt idx="534">
                  <c:v>45448</c:v>
                </c:pt>
                <c:pt idx="535">
                  <c:v>45447</c:v>
                </c:pt>
                <c:pt idx="536">
                  <c:v>45446</c:v>
                </c:pt>
                <c:pt idx="537">
                  <c:v>45443</c:v>
                </c:pt>
                <c:pt idx="538">
                  <c:v>45442</c:v>
                </c:pt>
                <c:pt idx="539">
                  <c:v>45441</c:v>
                </c:pt>
                <c:pt idx="540">
                  <c:v>45440</c:v>
                </c:pt>
                <c:pt idx="541">
                  <c:v>45439</c:v>
                </c:pt>
                <c:pt idx="542">
                  <c:v>45436</c:v>
                </c:pt>
                <c:pt idx="543">
                  <c:v>45435</c:v>
                </c:pt>
                <c:pt idx="544">
                  <c:v>45434</c:v>
                </c:pt>
                <c:pt idx="545">
                  <c:v>45433</c:v>
                </c:pt>
                <c:pt idx="546">
                  <c:v>45430</c:v>
                </c:pt>
                <c:pt idx="547">
                  <c:v>45429</c:v>
                </c:pt>
                <c:pt idx="548">
                  <c:v>45428</c:v>
                </c:pt>
                <c:pt idx="549">
                  <c:v>45427</c:v>
                </c:pt>
                <c:pt idx="550">
                  <c:v>45426</c:v>
                </c:pt>
                <c:pt idx="551">
                  <c:v>45425</c:v>
                </c:pt>
                <c:pt idx="552">
                  <c:v>45422</c:v>
                </c:pt>
                <c:pt idx="553">
                  <c:v>45421</c:v>
                </c:pt>
                <c:pt idx="554">
                  <c:v>45420</c:v>
                </c:pt>
                <c:pt idx="555">
                  <c:v>45419</c:v>
                </c:pt>
                <c:pt idx="556">
                  <c:v>45418</c:v>
                </c:pt>
                <c:pt idx="557">
                  <c:v>45415</c:v>
                </c:pt>
                <c:pt idx="558">
                  <c:v>45414</c:v>
                </c:pt>
                <c:pt idx="559">
                  <c:v>45412</c:v>
                </c:pt>
                <c:pt idx="560">
                  <c:v>45411</c:v>
                </c:pt>
                <c:pt idx="561">
                  <c:v>45408</c:v>
                </c:pt>
                <c:pt idx="562">
                  <c:v>45407</c:v>
                </c:pt>
                <c:pt idx="563">
                  <c:v>45406</c:v>
                </c:pt>
                <c:pt idx="564">
                  <c:v>45405</c:v>
                </c:pt>
                <c:pt idx="565">
                  <c:v>45404</c:v>
                </c:pt>
                <c:pt idx="566">
                  <c:v>45401</c:v>
                </c:pt>
                <c:pt idx="567">
                  <c:v>45400</c:v>
                </c:pt>
                <c:pt idx="568">
                  <c:v>45398</c:v>
                </c:pt>
                <c:pt idx="569">
                  <c:v>45397</c:v>
                </c:pt>
                <c:pt idx="570">
                  <c:v>45394</c:v>
                </c:pt>
                <c:pt idx="571">
                  <c:v>45392</c:v>
                </c:pt>
                <c:pt idx="572">
                  <c:v>45391</c:v>
                </c:pt>
                <c:pt idx="573">
                  <c:v>45390</c:v>
                </c:pt>
                <c:pt idx="574">
                  <c:v>45387</c:v>
                </c:pt>
                <c:pt idx="575">
                  <c:v>45386</c:v>
                </c:pt>
                <c:pt idx="576">
                  <c:v>45385</c:v>
                </c:pt>
                <c:pt idx="577">
                  <c:v>45384</c:v>
                </c:pt>
                <c:pt idx="578">
                  <c:v>45383</c:v>
                </c:pt>
                <c:pt idx="579">
                  <c:v>45379</c:v>
                </c:pt>
                <c:pt idx="580">
                  <c:v>45378</c:v>
                </c:pt>
                <c:pt idx="581">
                  <c:v>45377</c:v>
                </c:pt>
                <c:pt idx="582">
                  <c:v>45373</c:v>
                </c:pt>
                <c:pt idx="583">
                  <c:v>45372</c:v>
                </c:pt>
                <c:pt idx="584">
                  <c:v>45371</c:v>
                </c:pt>
                <c:pt idx="585">
                  <c:v>45370</c:v>
                </c:pt>
                <c:pt idx="586">
                  <c:v>45369</c:v>
                </c:pt>
                <c:pt idx="587">
                  <c:v>45366</c:v>
                </c:pt>
                <c:pt idx="588">
                  <c:v>45365</c:v>
                </c:pt>
                <c:pt idx="589">
                  <c:v>45364</c:v>
                </c:pt>
                <c:pt idx="590">
                  <c:v>45363</c:v>
                </c:pt>
                <c:pt idx="591">
                  <c:v>45362</c:v>
                </c:pt>
                <c:pt idx="592">
                  <c:v>45358</c:v>
                </c:pt>
                <c:pt idx="593">
                  <c:v>45357</c:v>
                </c:pt>
                <c:pt idx="594">
                  <c:v>45356</c:v>
                </c:pt>
                <c:pt idx="595">
                  <c:v>45355</c:v>
                </c:pt>
                <c:pt idx="596">
                  <c:v>45353</c:v>
                </c:pt>
                <c:pt idx="597">
                  <c:v>45352</c:v>
                </c:pt>
                <c:pt idx="598">
                  <c:v>45351</c:v>
                </c:pt>
                <c:pt idx="599">
                  <c:v>45350</c:v>
                </c:pt>
                <c:pt idx="600">
                  <c:v>45349</c:v>
                </c:pt>
                <c:pt idx="601">
                  <c:v>45348</c:v>
                </c:pt>
                <c:pt idx="602">
                  <c:v>45345</c:v>
                </c:pt>
                <c:pt idx="603">
                  <c:v>45344</c:v>
                </c:pt>
                <c:pt idx="604">
                  <c:v>45343</c:v>
                </c:pt>
                <c:pt idx="605">
                  <c:v>45342</c:v>
                </c:pt>
                <c:pt idx="606">
                  <c:v>45341</c:v>
                </c:pt>
                <c:pt idx="607">
                  <c:v>45338</c:v>
                </c:pt>
                <c:pt idx="608">
                  <c:v>45337</c:v>
                </c:pt>
                <c:pt idx="609">
                  <c:v>45336</c:v>
                </c:pt>
                <c:pt idx="610">
                  <c:v>45335</c:v>
                </c:pt>
                <c:pt idx="611">
                  <c:v>45334</c:v>
                </c:pt>
                <c:pt idx="612">
                  <c:v>45331</c:v>
                </c:pt>
                <c:pt idx="613">
                  <c:v>45330</c:v>
                </c:pt>
                <c:pt idx="614">
                  <c:v>45329</c:v>
                </c:pt>
                <c:pt idx="615">
                  <c:v>45328</c:v>
                </c:pt>
                <c:pt idx="616">
                  <c:v>45327</c:v>
                </c:pt>
                <c:pt idx="617">
                  <c:v>45324</c:v>
                </c:pt>
                <c:pt idx="618">
                  <c:v>45323</c:v>
                </c:pt>
                <c:pt idx="619">
                  <c:v>45322</c:v>
                </c:pt>
                <c:pt idx="620">
                  <c:v>45321</c:v>
                </c:pt>
                <c:pt idx="621">
                  <c:v>45320</c:v>
                </c:pt>
                <c:pt idx="622">
                  <c:v>45316</c:v>
                </c:pt>
                <c:pt idx="623">
                  <c:v>45315</c:v>
                </c:pt>
                <c:pt idx="624">
                  <c:v>45314</c:v>
                </c:pt>
                <c:pt idx="625">
                  <c:v>45311</c:v>
                </c:pt>
                <c:pt idx="626">
                  <c:v>45310</c:v>
                </c:pt>
                <c:pt idx="627">
                  <c:v>45309</c:v>
                </c:pt>
                <c:pt idx="628">
                  <c:v>45308</c:v>
                </c:pt>
                <c:pt idx="629">
                  <c:v>45307</c:v>
                </c:pt>
                <c:pt idx="630">
                  <c:v>45306</c:v>
                </c:pt>
                <c:pt idx="631">
                  <c:v>45303</c:v>
                </c:pt>
                <c:pt idx="632">
                  <c:v>45302</c:v>
                </c:pt>
                <c:pt idx="633">
                  <c:v>45301</c:v>
                </c:pt>
                <c:pt idx="634">
                  <c:v>45300</c:v>
                </c:pt>
                <c:pt idx="635">
                  <c:v>45299</c:v>
                </c:pt>
                <c:pt idx="636">
                  <c:v>45296</c:v>
                </c:pt>
                <c:pt idx="637">
                  <c:v>45295</c:v>
                </c:pt>
                <c:pt idx="638">
                  <c:v>45294</c:v>
                </c:pt>
                <c:pt idx="639">
                  <c:v>45293</c:v>
                </c:pt>
                <c:pt idx="640">
                  <c:v>45292</c:v>
                </c:pt>
                <c:pt idx="641">
                  <c:v>45289</c:v>
                </c:pt>
                <c:pt idx="642">
                  <c:v>45288</c:v>
                </c:pt>
                <c:pt idx="643">
                  <c:v>45287</c:v>
                </c:pt>
                <c:pt idx="644">
                  <c:v>45286</c:v>
                </c:pt>
                <c:pt idx="645">
                  <c:v>45282</c:v>
                </c:pt>
                <c:pt idx="646">
                  <c:v>45281</c:v>
                </c:pt>
                <c:pt idx="647">
                  <c:v>45280</c:v>
                </c:pt>
                <c:pt idx="648">
                  <c:v>45279</c:v>
                </c:pt>
                <c:pt idx="649">
                  <c:v>45278</c:v>
                </c:pt>
                <c:pt idx="650">
                  <c:v>45275</c:v>
                </c:pt>
                <c:pt idx="651">
                  <c:v>45274</c:v>
                </c:pt>
                <c:pt idx="652">
                  <c:v>45273</c:v>
                </c:pt>
                <c:pt idx="653">
                  <c:v>45272</c:v>
                </c:pt>
                <c:pt idx="654">
                  <c:v>45271</c:v>
                </c:pt>
                <c:pt idx="655">
                  <c:v>45268</c:v>
                </c:pt>
                <c:pt idx="656">
                  <c:v>45267</c:v>
                </c:pt>
                <c:pt idx="657">
                  <c:v>45266</c:v>
                </c:pt>
                <c:pt idx="658">
                  <c:v>45265</c:v>
                </c:pt>
                <c:pt idx="659">
                  <c:v>45264</c:v>
                </c:pt>
                <c:pt idx="660">
                  <c:v>45261</c:v>
                </c:pt>
                <c:pt idx="661">
                  <c:v>45260</c:v>
                </c:pt>
                <c:pt idx="662">
                  <c:v>45259</c:v>
                </c:pt>
                <c:pt idx="663">
                  <c:v>45258</c:v>
                </c:pt>
                <c:pt idx="664">
                  <c:v>45254</c:v>
                </c:pt>
                <c:pt idx="665">
                  <c:v>45253</c:v>
                </c:pt>
                <c:pt idx="666">
                  <c:v>45252</c:v>
                </c:pt>
                <c:pt idx="667">
                  <c:v>45251</c:v>
                </c:pt>
                <c:pt idx="668">
                  <c:v>45250</c:v>
                </c:pt>
                <c:pt idx="669">
                  <c:v>45247</c:v>
                </c:pt>
                <c:pt idx="670">
                  <c:v>45246</c:v>
                </c:pt>
                <c:pt idx="671">
                  <c:v>45245</c:v>
                </c:pt>
                <c:pt idx="672">
                  <c:v>45243</c:v>
                </c:pt>
                <c:pt idx="673">
                  <c:v>45242</c:v>
                </c:pt>
                <c:pt idx="674">
                  <c:v>45240</c:v>
                </c:pt>
                <c:pt idx="675">
                  <c:v>45239</c:v>
                </c:pt>
                <c:pt idx="676">
                  <c:v>45238</c:v>
                </c:pt>
                <c:pt idx="677">
                  <c:v>45237</c:v>
                </c:pt>
                <c:pt idx="678">
                  <c:v>45236</c:v>
                </c:pt>
                <c:pt idx="679">
                  <c:v>45233</c:v>
                </c:pt>
                <c:pt idx="680">
                  <c:v>45232</c:v>
                </c:pt>
                <c:pt idx="681">
                  <c:v>45231</c:v>
                </c:pt>
                <c:pt idx="682">
                  <c:v>45230</c:v>
                </c:pt>
                <c:pt idx="683">
                  <c:v>45229</c:v>
                </c:pt>
                <c:pt idx="684">
                  <c:v>45226</c:v>
                </c:pt>
                <c:pt idx="685">
                  <c:v>45225</c:v>
                </c:pt>
                <c:pt idx="686">
                  <c:v>45224</c:v>
                </c:pt>
                <c:pt idx="687">
                  <c:v>45222</c:v>
                </c:pt>
                <c:pt idx="688">
                  <c:v>45219</c:v>
                </c:pt>
                <c:pt idx="689">
                  <c:v>45218</c:v>
                </c:pt>
                <c:pt idx="690">
                  <c:v>45217</c:v>
                </c:pt>
                <c:pt idx="691">
                  <c:v>45216</c:v>
                </c:pt>
                <c:pt idx="692">
                  <c:v>45215</c:v>
                </c:pt>
                <c:pt idx="693">
                  <c:v>45212</c:v>
                </c:pt>
                <c:pt idx="694">
                  <c:v>45211</c:v>
                </c:pt>
                <c:pt idx="695">
                  <c:v>45210</c:v>
                </c:pt>
                <c:pt idx="696">
                  <c:v>45209</c:v>
                </c:pt>
                <c:pt idx="697">
                  <c:v>45208</c:v>
                </c:pt>
                <c:pt idx="698">
                  <c:v>45205</c:v>
                </c:pt>
                <c:pt idx="699">
                  <c:v>45204</c:v>
                </c:pt>
                <c:pt idx="700">
                  <c:v>45203</c:v>
                </c:pt>
                <c:pt idx="701">
                  <c:v>45202</c:v>
                </c:pt>
                <c:pt idx="702">
                  <c:v>45198</c:v>
                </c:pt>
                <c:pt idx="703">
                  <c:v>45197</c:v>
                </c:pt>
                <c:pt idx="704">
                  <c:v>45196</c:v>
                </c:pt>
                <c:pt idx="705">
                  <c:v>45195</c:v>
                </c:pt>
                <c:pt idx="706">
                  <c:v>45194</c:v>
                </c:pt>
                <c:pt idx="707">
                  <c:v>45191</c:v>
                </c:pt>
                <c:pt idx="708">
                  <c:v>45190</c:v>
                </c:pt>
                <c:pt idx="709">
                  <c:v>45189</c:v>
                </c:pt>
                <c:pt idx="710">
                  <c:v>45187</c:v>
                </c:pt>
                <c:pt idx="711">
                  <c:v>45184</c:v>
                </c:pt>
                <c:pt idx="712">
                  <c:v>45183</c:v>
                </c:pt>
                <c:pt idx="713">
                  <c:v>45182</c:v>
                </c:pt>
                <c:pt idx="714">
                  <c:v>45181</c:v>
                </c:pt>
                <c:pt idx="715">
                  <c:v>45180</c:v>
                </c:pt>
                <c:pt idx="716">
                  <c:v>45177</c:v>
                </c:pt>
                <c:pt idx="717">
                  <c:v>45176</c:v>
                </c:pt>
                <c:pt idx="718">
                  <c:v>45175</c:v>
                </c:pt>
                <c:pt idx="719">
                  <c:v>45174</c:v>
                </c:pt>
                <c:pt idx="720">
                  <c:v>45173</c:v>
                </c:pt>
                <c:pt idx="721">
                  <c:v>45170</c:v>
                </c:pt>
                <c:pt idx="722">
                  <c:v>45169</c:v>
                </c:pt>
                <c:pt idx="723">
                  <c:v>45168</c:v>
                </c:pt>
                <c:pt idx="724">
                  <c:v>45167</c:v>
                </c:pt>
                <c:pt idx="725">
                  <c:v>45166</c:v>
                </c:pt>
                <c:pt idx="726">
                  <c:v>45163</c:v>
                </c:pt>
                <c:pt idx="727">
                  <c:v>45162</c:v>
                </c:pt>
                <c:pt idx="728">
                  <c:v>45161</c:v>
                </c:pt>
                <c:pt idx="729">
                  <c:v>45160</c:v>
                </c:pt>
                <c:pt idx="730">
                  <c:v>45159</c:v>
                </c:pt>
                <c:pt idx="731">
                  <c:v>45156</c:v>
                </c:pt>
                <c:pt idx="732">
                  <c:v>45155</c:v>
                </c:pt>
                <c:pt idx="733">
                  <c:v>45154</c:v>
                </c:pt>
                <c:pt idx="734">
                  <c:v>45152</c:v>
                </c:pt>
                <c:pt idx="735">
                  <c:v>45149</c:v>
                </c:pt>
                <c:pt idx="736">
                  <c:v>45148</c:v>
                </c:pt>
                <c:pt idx="737">
                  <c:v>45147</c:v>
                </c:pt>
                <c:pt idx="738">
                  <c:v>45146</c:v>
                </c:pt>
                <c:pt idx="739">
                  <c:v>45145</c:v>
                </c:pt>
                <c:pt idx="740">
                  <c:v>45142</c:v>
                </c:pt>
                <c:pt idx="741">
                  <c:v>45141</c:v>
                </c:pt>
                <c:pt idx="742">
                  <c:v>45140</c:v>
                </c:pt>
                <c:pt idx="743">
                  <c:v>45139</c:v>
                </c:pt>
                <c:pt idx="744">
                  <c:v>45138</c:v>
                </c:pt>
                <c:pt idx="745">
                  <c:v>45135</c:v>
                </c:pt>
                <c:pt idx="746">
                  <c:v>45134</c:v>
                </c:pt>
                <c:pt idx="747">
                  <c:v>45133</c:v>
                </c:pt>
                <c:pt idx="748">
                  <c:v>45132</c:v>
                </c:pt>
                <c:pt idx="749">
                  <c:v>45131</c:v>
                </c:pt>
                <c:pt idx="750">
                  <c:v>45128</c:v>
                </c:pt>
                <c:pt idx="751">
                  <c:v>45127</c:v>
                </c:pt>
                <c:pt idx="752">
                  <c:v>45126</c:v>
                </c:pt>
                <c:pt idx="753">
                  <c:v>45125</c:v>
                </c:pt>
                <c:pt idx="754">
                  <c:v>45124</c:v>
                </c:pt>
                <c:pt idx="755">
                  <c:v>45121</c:v>
                </c:pt>
                <c:pt idx="756">
                  <c:v>45120</c:v>
                </c:pt>
                <c:pt idx="757">
                  <c:v>45119</c:v>
                </c:pt>
                <c:pt idx="758">
                  <c:v>45118</c:v>
                </c:pt>
                <c:pt idx="759">
                  <c:v>45117</c:v>
                </c:pt>
                <c:pt idx="760">
                  <c:v>45114</c:v>
                </c:pt>
                <c:pt idx="761">
                  <c:v>45113</c:v>
                </c:pt>
                <c:pt idx="762">
                  <c:v>45112</c:v>
                </c:pt>
                <c:pt idx="763">
                  <c:v>45111</c:v>
                </c:pt>
                <c:pt idx="764">
                  <c:v>45110</c:v>
                </c:pt>
                <c:pt idx="765">
                  <c:v>45107</c:v>
                </c:pt>
                <c:pt idx="766">
                  <c:v>45105</c:v>
                </c:pt>
                <c:pt idx="767">
                  <c:v>45104</c:v>
                </c:pt>
                <c:pt idx="768">
                  <c:v>45103</c:v>
                </c:pt>
                <c:pt idx="769">
                  <c:v>45100</c:v>
                </c:pt>
                <c:pt idx="770">
                  <c:v>45099</c:v>
                </c:pt>
                <c:pt idx="771">
                  <c:v>45098</c:v>
                </c:pt>
                <c:pt idx="772">
                  <c:v>45097</c:v>
                </c:pt>
                <c:pt idx="773">
                  <c:v>45096</c:v>
                </c:pt>
                <c:pt idx="774">
                  <c:v>45093</c:v>
                </c:pt>
                <c:pt idx="775">
                  <c:v>45092</c:v>
                </c:pt>
                <c:pt idx="776">
                  <c:v>45091</c:v>
                </c:pt>
                <c:pt idx="777">
                  <c:v>45090</c:v>
                </c:pt>
                <c:pt idx="778">
                  <c:v>45089</c:v>
                </c:pt>
                <c:pt idx="779">
                  <c:v>45086</c:v>
                </c:pt>
                <c:pt idx="780">
                  <c:v>45085</c:v>
                </c:pt>
                <c:pt idx="781">
                  <c:v>45084</c:v>
                </c:pt>
                <c:pt idx="782">
                  <c:v>45083</c:v>
                </c:pt>
                <c:pt idx="783">
                  <c:v>45082</c:v>
                </c:pt>
                <c:pt idx="784">
                  <c:v>45079</c:v>
                </c:pt>
                <c:pt idx="785">
                  <c:v>45078</c:v>
                </c:pt>
                <c:pt idx="786">
                  <c:v>45077</c:v>
                </c:pt>
                <c:pt idx="787">
                  <c:v>45076</c:v>
                </c:pt>
                <c:pt idx="788">
                  <c:v>45075</c:v>
                </c:pt>
                <c:pt idx="789">
                  <c:v>45072</c:v>
                </c:pt>
                <c:pt idx="790">
                  <c:v>45071</c:v>
                </c:pt>
                <c:pt idx="791">
                  <c:v>45070</c:v>
                </c:pt>
                <c:pt idx="792">
                  <c:v>45069</c:v>
                </c:pt>
                <c:pt idx="793">
                  <c:v>45068</c:v>
                </c:pt>
                <c:pt idx="794">
                  <c:v>45065</c:v>
                </c:pt>
                <c:pt idx="795">
                  <c:v>45064</c:v>
                </c:pt>
                <c:pt idx="796">
                  <c:v>45063</c:v>
                </c:pt>
                <c:pt idx="797">
                  <c:v>45062</c:v>
                </c:pt>
                <c:pt idx="798">
                  <c:v>45061</c:v>
                </c:pt>
                <c:pt idx="799">
                  <c:v>45058</c:v>
                </c:pt>
                <c:pt idx="800">
                  <c:v>45057</c:v>
                </c:pt>
                <c:pt idx="801">
                  <c:v>45056</c:v>
                </c:pt>
                <c:pt idx="802">
                  <c:v>45055</c:v>
                </c:pt>
                <c:pt idx="803">
                  <c:v>45054</c:v>
                </c:pt>
                <c:pt idx="804">
                  <c:v>45051</c:v>
                </c:pt>
                <c:pt idx="805">
                  <c:v>45050</c:v>
                </c:pt>
                <c:pt idx="806">
                  <c:v>45049</c:v>
                </c:pt>
                <c:pt idx="807">
                  <c:v>45048</c:v>
                </c:pt>
                <c:pt idx="808">
                  <c:v>45044</c:v>
                </c:pt>
                <c:pt idx="809">
                  <c:v>45043</c:v>
                </c:pt>
                <c:pt idx="810">
                  <c:v>45042</c:v>
                </c:pt>
                <c:pt idx="811">
                  <c:v>45041</c:v>
                </c:pt>
                <c:pt idx="812">
                  <c:v>45040</c:v>
                </c:pt>
                <c:pt idx="813">
                  <c:v>45037</c:v>
                </c:pt>
                <c:pt idx="814">
                  <c:v>45036</c:v>
                </c:pt>
                <c:pt idx="815">
                  <c:v>45035</c:v>
                </c:pt>
                <c:pt idx="816">
                  <c:v>45034</c:v>
                </c:pt>
                <c:pt idx="817">
                  <c:v>45033</c:v>
                </c:pt>
                <c:pt idx="818">
                  <c:v>45029</c:v>
                </c:pt>
                <c:pt idx="819">
                  <c:v>45028</c:v>
                </c:pt>
                <c:pt idx="820">
                  <c:v>45027</c:v>
                </c:pt>
                <c:pt idx="821">
                  <c:v>45026</c:v>
                </c:pt>
                <c:pt idx="822">
                  <c:v>45022</c:v>
                </c:pt>
                <c:pt idx="823">
                  <c:v>45021</c:v>
                </c:pt>
                <c:pt idx="824">
                  <c:v>45019</c:v>
                </c:pt>
                <c:pt idx="825">
                  <c:v>45016</c:v>
                </c:pt>
                <c:pt idx="826">
                  <c:v>45014</c:v>
                </c:pt>
                <c:pt idx="827">
                  <c:v>45013</c:v>
                </c:pt>
                <c:pt idx="828">
                  <c:v>45012</c:v>
                </c:pt>
                <c:pt idx="829">
                  <c:v>45009</c:v>
                </c:pt>
                <c:pt idx="830">
                  <c:v>45008</c:v>
                </c:pt>
                <c:pt idx="831">
                  <c:v>45007</c:v>
                </c:pt>
                <c:pt idx="832">
                  <c:v>45006</c:v>
                </c:pt>
                <c:pt idx="833">
                  <c:v>45005</c:v>
                </c:pt>
                <c:pt idx="834">
                  <c:v>45002</c:v>
                </c:pt>
                <c:pt idx="835">
                  <c:v>45001</c:v>
                </c:pt>
                <c:pt idx="836">
                  <c:v>45000</c:v>
                </c:pt>
                <c:pt idx="837">
                  <c:v>44999</c:v>
                </c:pt>
                <c:pt idx="838">
                  <c:v>44998</c:v>
                </c:pt>
                <c:pt idx="839">
                  <c:v>44995</c:v>
                </c:pt>
                <c:pt idx="840">
                  <c:v>44994</c:v>
                </c:pt>
                <c:pt idx="841">
                  <c:v>44993</c:v>
                </c:pt>
                <c:pt idx="842">
                  <c:v>44991</c:v>
                </c:pt>
                <c:pt idx="843">
                  <c:v>44988</c:v>
                </c:pt>
                <c:pt idx="844">
                  <c:v>44987</c:v>
                </c:pt>
                <c:pt idx="845">
                  <c:v>44986</c:v>
                </c:pt>
                <c:pt idx="846">
                  <c:v>44985</c:v>
                </c:pt>
                <c:pt idx="847">
                  <c:v>44984</c:v>
                </c:pt>
                <c:pt idx="848">
                  <c:v>44981</c:v>
                </c:pt>
                <c:pt idx="849">
                  <c:v>44980</c:v>
                </c:pt>
                <c:pt idx="850">
                  <c:v>44979</c:v>
                </c:pt>
                <c:pt idx="851">
                  <c:v>44978</c:v>
                </c:pt>
                <c:pt idx="852">
                  <c:v>44977</c:v>
                </c:pt>
                <c:pt idx="853">
                  <c:v>44974</c:v>
                </c:pt>
                <c:pt idx="854">
                  <c:v>44973</c:v>
                </c:pt>
                <c:pt idx="855">
                  <c:v>44972</c:v>
                </c:pt>
                <c:pt idx="856">
                  <c:v>44971</c:v>
                </c:pt>
                <c:pt idx="857">
                  <c:v>44970</c:v>
                </c:pt>
                <c:pt idx="858">
                  <c:v>44967</c:v>
                </c:pt>
                <c:pt idx="859">
                  <c:v>44966</c:v>
                </c:pt>
                <c:pt idx="860">
                  <c:v>44965</c:v>
                </c:pt>
                <c:pt idx="861">
                  <c:v>44964</c:v>
                </c:pt>
                <c:pt idx="862">
                  <c:v>44963</c:v>
                </c:pt>
                <c:pt idx="863">
                  <c:v>44960</c:v>
                </c:pt>
                <c:pt idx="864">
                  <c:v>44959</c:v>
                </c:pt>
                <c:pt idx="865">
                  <c:v>44958</c:v>
                </c:pt>
                <c:pt idx="866">
                  <c:v>44957</c:v>
                </c:pt>
                <c:pt idx="867">
                  <c:v>44956</c:v>
                </c:pt>
                <c:pt idx="868">
                  <c:v>44953</c:v>
                </c:pt>
                <c:pt idx="869">
                  <c:v>44951</c:v>
                </c:pt>
                <c:pt idx="870">
                  <c:v>44950</c:v>
                </c:pt>
                <c:pt idx="871">
                  <c:v>44949</c:v>
                </c:pt>
                <c:pt idx="872">
                  <c:v>44946</c:v>
                </c:pt>
                <c:pt idx="873">
                  <c:v>44945</c:v>
                </c:pt>
                <c:pt idx="874">
                  <c:v>44944</c:v>
                </c:pt>
                <c:pt idx="875">
                  <c:v>44943</c:v>
                </c:pt>
                <c:pt idx="876">
                  <c:v>44942</c:v>
                </c:pt>
                <c:pt idx="877">
                  <c:v>44939</c:v>
                </c:pt>
                <c:pt idx="878">
                  <c:v>44938</c:v>
                </c:pt>
                <c:pt idx="879">
                  <c:v>44937</c:v>
                </c:pt>
                <c:pt idx="880">
                  <c:v>44936</c:v>
                </c:pt>
                <c:pt idx="881">
                  <c:v>44935</c:v>
                </c:pt>
                <c:pt idx="882">
                  <c:v>44932</c:v>
                </c:pt>
                <c:pt idx="883">
                  <c:v>44931</c:v>
                </c:pt>
                <c:pt idx="884">
                  <c:v>44930</c:v>
                </c:pt>
                <c:pt idx="885">
                  <c:v>44929</c:v>
                </c:pt>
                <c:pt idx="886">
                  <c:v>44928</c:v>
                </c:pt>
                <c:pt idx="887">
                  <c:v>44925</c:v>
                </c:pt>
                <c:pt idx="888">
                  <c:v>44924</c:v>
                </c:pt>
                <c:pt idx="889">
                  <c:v>44923</c:v>
                </c:pt>
                <c:pt idx="890">
                  <c:v>44922</c:v>
                </c:pt>
                <c:pt idx="891">
                  <c:v>44921</c:v>
                </c:pt>
                <c:pt idx="892">
                  <c:v>44918</c:v>
                </c:pt>
                <c:pt idx="893">
                  <c:v>44917</c:v>
                </c:pt>
                <c:pt idx="894">
                  <c:v>44916</c:v>
                </c:pt>
                <c:pt idx="895">
                  <c:v>44915</c:v>
                </c:pt>
                <c:pt idx="896">
                  <c:v>44914</c:v>
                </c:pt>
                <c:pt idx="897">
                  <c:v>44911</c:v>
                </c:pt>
                <c:pt idx="898">
                  <c:v>44910</c:v>
                </c:pt>
                <c:pt idx="899">
                  <c:v>44909</c:v>
                </c:pt>
                <c:pt idx="900">
                  <c:v>44908</c:v>
                </c:pt>
                <c:pt idx="901">
                  <c:v>44907</c:v>
                </c:pt>
                <c:pt idx="902">
                  <c:v>44904</c:v>
                </c:pt>
                <c:pt idx="903">
                  <c:v>44903</c:v>
                </c:pt>
                <c:pt idx="904">
                  <c:v>44902</c:v>
                </c:pt>
                <c:pt idx="905">
                  <c:v>44901</c:v>
                </c:pt>
                <c:pt idx="906">
                  <c:v>44900</c:v>
                </c:pt>
                <c:pt idx="907">
                  <c:v>44897</c:v>
                </c:pt>
                <c:pt idx="908">
                  <c:v>44896</c:v>
                </c:pt>
                <c:pt idx="909">
                  <c:v>44895</c:v>
                </c:pt>
                <c:pt idx="910">
                  <c:v>44894</c:v>
                </c:pt>
                <c:pt idx="911">
                  <c:v>44893</c:v>
                </c:pt>
                <c:pt idx="912">
                  <c:v>44890</c:v>
                </c:pt>
                <c:pt idx="913">
                  <c:v>44889</c:v>
                </c:pt>
                <c:pt idx="914">
                  <c:v>44888</c:v>
                </c:pt>
                <c:pt idx="915">
                  <c:v>44887</c:v>
                </c:pt>
                <c:pt idx="916">
                  <c:v>44886</c:v>
                </c:pt>
                <c:pt idx="917">
                  <c:v>44883</c:v>
                </c:pt>
                <c:pt idx="918">
                  <c:v>44882</c:v>
                </c:pt>
                <c:pt idx="919">
                  <c:v>44881</c:v>
                </c:pt>
                <c:pt idx="920">
                  <c:v>44880</c:v>
                </c:pt>
                <c:pt idx="921">
                  <c:v>44879</c:v>
                </c:pt>
                <c:pt idx="922">
                  <c:v>44876</c:v>
                </c:pt>
                <c:pt idx="923">
                  <c:v>44875</c:v>
                </c:pt>
                <c:pt idx="924">
                  <c:v>44874</c:v>
                </c:pt>
                <c:pt idx="925">
                  <c:v>44872</c:v>
                </c:pt>
                <c:pt idx="926">
                  <c:v>44869</c:v>
                </c:pt>
                <c:pt idx="927">
                  <c:v>44868</c:v>
                </c:pt>
                <c:pt idx="928">
                  <c:v>44867</c:v>
                </c:pt>
                <c:pt idx="929">
                  <c:v>44866</c:v>
                </c:pt>
                <c:pt idx="930">
                  <c:v>44865</c:v>
                </c:pt>
                <c:pt idx="931">
                  <c:v>44862</c:v>
                </c:pt>
                <c:pt idx="932">
                  <c:v>44861</c:v>
                </c:pt>
                <c:pt idx="933">
                  <c:v>44859</c:v>
                </c:pt>
                <c:pt idx="934">
                  <c:v>44858</c:v>
                </c:pt>
                <c:pt idx="935">
                  <c:v>44855</c:v>
                </c:pt>
                <c:pt idx="936">
                  <c:v>44854</c:v>
                </c:pt>
                <c:pt idx="937">
                  <c:v>44853</c:v>
                </c:pt>
                <c:pt idx="938">
                  <c:v>44852</c:v>
                </c:pt>
                <c:pt idx="939">
                  <c:v>44851</c:v>
                </c:pt>
                <c:pt idx="940">
                  <c:v>44848</c:v>
                </c:pt>
                <c:pt idx="941">
                  <c:v>44847</c:v>
                </c:pt>
                <c:pt idx="942">
                  <c:v>44846</c:v>
                </c:pt>
                <c:pt idx="943">
                  <c:v>44845</c:v>
                </c:pt>
                <c:pt idx="944">
                  <c:v>44844</c:v>
                </c:pt>
                <c:pt idx="945">
                  <c:v>44841</c:v>
                </c:pt>
                <c:pt idx="946">
                  <c:v>44840</c:v>
                </c:pt>
                <c:pt idx="947">
                  <c:v>44838</c:v>
                </c:pt>
                <c:pt idx="948">
                  <c:v>44837</c:v>
                </c:pt>
                <c:pt idx="949">
                  <c:v>44834</c:v>
                </c:pt>
                <c:pt idx="950">
                  <c:v>44833</c:v>
                </c:pt>
                <c:pt idx="951">
                  <c:v>44832</c:v>
                </c:pt>
                <c:pt idx="952">
                  <c:v>44831</c:v>
                </c:pt>
                <c:pt idx="953">
                  <c:v>44830</c:v>
                </c:pt>
                <c:pt idx="954">
                  <c:v>44827</c:v>
                </c:pt>
                <c:pt idx="955">
                  <c:v>44826</c:v>
                </c:pt>
                <c:pt idx="956">
                  <c:v>44825</c:v>
                </c:pt>
                <c:pt idx="957">
                  <c:v>44824</c:v>
                </c:pt>
                <c:pt idx="958">
                  <c:v>44823</c:v>
                </c:pt>
                <c:pt idx="959">
                  <c:v>44820</c:v>
                </c:pt>
                <c:pt idx="960">
                  <c:v>44819</c:v>
                </c:pt>
                <c:pt idx="961">
                  <c:v>44818</c:v>
                </c:pt>
                <c:pt idx="962">
                  <c:v>44817</c:v>
                </c:pt>
                <c:pt idx="963">
                  <c:v>44816</c:v>
                </c:pt>
                <c:pt idx="964">
                  <c:v>44813</c:v>
                </c:pt>
                <c:pt idx="965">
                  <c:v>44812</c:v>
                </c:pt>
                <c:pt idx="966">
                  <c:v>44811</c:v>
                </c:pt>
                <c:pt idx="967">
                  <c:v>44810</c:v>
                </c:pt>
                <c:pt idx="968">
                  <c:v>44809</c:v>
                </c:pt>
                <c:pt idx="969">
                  <c:v>44806</c:v>
                </c:pt>
                <c:pt idx="970">
                  <c:v>44805</c:v>
                </c:pt>
                <c:pt idx="971">
                  <c:v>44803</c:v>
                </c:pt>
                <c:pt idx="972">
                  <c:v>44802</c:v>
                </c:pt>
                <c:pt idx="973">
                  <c:v>44799</c:v>
                </c:pt>
                <c:pt idx="974">
                  <c:v>44798</c:v>
                </c:pt>
                <c:pt idx="975">
                  <c:v>44797</c:v>
                </c:pt>
                <c:pt idx="976">
                  <c:v>44796</c:v>
                </c:pt>
                <c:pt idx="977">
                  <c:v>44795</c:v>
                </c:pt>
                <c:pt idx="978">
                  <c:v>44792</c:v>
                </c:pt>
                <c:pt idx="979">
                  <c:v>44791</c:v>
                </c:pt>
                <c:pt idx="980">
                  <c:v>44790</c:v>
                </c:pt>
                <c:pt idx="981">
                  <c:v>44789</c:v>
                </c:pt>
                <c:pt idx="982">
                  <c:v>44785</c:v>
                </c:pt>
                <c:pt idx="983">
                  <c:v>44784</c:v>
                </c:pt>
                <c:pt idx="984">
                  <c:v>44783</c:v>
                </c:pt>
                <c:pt idx="985">
                  <c:v>44781</c:v>
                </c:pt>
                <c:pt idx="986">
                  <c:v>44778</c:v>
                </c:pt>
                <c:pt idx="987">
                  <c:v>44777</c:v>
                </c:pt>
                <c:pt idx="988">
                  <c:v>44776</c:v>
                </c:pt>
                <c:pt idx="989">
                  <c:v>44775</c:v>
                </c:pt>
              </c:numCache>
            </c:numRef>
          </c:cat>
          <c:val>
            <c:numRef>
              <c:f>Sheet3!$C$2:$C$991</c:f>
              <c:numCache>
                <c:formatCode>General</c:formatCode>
                <c:ptCount val="990"/>
                <c:pt idx="0">
                  <c:v>34250000</c:v>
                </c:pt>
                <c:pt idx="1">
                  <c:v>13770000</c:v>
                </c:pt>
                <c:pt idx="2">
                  <c:v>24870000</c:v>
                </c:pt>
                <c:pt idx="3">
                  <c:v>19140000</c:v>
                </c:pt>
                <c:pt idx="4">
                  <c:v>11860000</c:v>
                </c:pt>
                <c:pt idx="5">
                  <c:v>16120000.000000002</c:v>
                </c:pt>
                <c:pt idx="6">
                  <c:v>20580000</c:v>
                </c:pt>
                <c:pt idx="7">
                  <c:v>16640000</c:v>
                </c:pt>
                <c:pt idx="8">
                  <c:v>21620000</c:v>
                </c:pt>
                <c:pt idx="9">
                  <c:v>11190000</c:v>
                </c:pt>
                <c:pt idx="10">
                  <c:v>20130000</c:v>
                </c:pt>
                <c:pt idx="11">
                  <c:v>13170000</c:v>
                </c:pt>
                <c:pt idx="12">
                  <c:v>24920000</c:v>
                </c:pt>
                <c:pt idx="13">
                  <c:v>24100000</c:v>
                </c:pt>
                <c:pt idx="14">
                  <c:v>47600000</c:v>
                </c:pt>
                <c:pt idx="15">
                  <c:v>23150000</c:v>
                </c:pt>
                <c:pt idx="16">
                  <c:v>21200000</c:v>
                </c:pt>
                <c:pt idx="17">
                  <c:v>17820000</c:v>
                </c:pt>
                <c:pt idx="18">
                  <c:v>22810000</c:v>
                </c:pt>
                <c:pt idx="19">
                  <c:v>14470000</c:v>
                </c:pt>
                <c:pt idx="20">
                  <c:v>28470000</c:v>
                </c:pt>
                <c:pt idx="21">
                  <c:v>29140000</c:v>
                </c:pt>
                <c:pt idx="22">
                  <c:v>20610000</c:v>
                </c:pt>
                <c:pt idx="23">
                  <c:v>33690000</c:v>
                </c:pt>
                <c:pt idx="24">
                  <c:v>62550000</c:v>
                </c:pt>
                <c:pt idx="25">
                  <c:v>34150000</c:v>
                </c:pt>
                <c:pt idx="26">
                  <c:v>51310000</c:v>
                </c:pt>
                <c:pt idx="27">
                  <c:v>34630000</c:v>
                </c:pt>
                <c:pt idx="28">
                  <c:v>19240000</c:v>
                </c:pt>
                <c:pt idx="29">
                  <c:v>31570000</c:v>
                </c:pt>
                <c:pt idx="30">
                  <c:v>22110000</c:v>
                </c:pt>
                <c:pt idx="31">
                  <c:v>22490000</c:v>
                </c:pt>
                <c:pt idx="32">
                  <c:v>29260000</c:v>
                </c:pt>
                <c:pt idx="33">
                  <c:v>27070000</c:v>
                </c:pt>
                <c:pt idx="34">
                  <c:v>27620000</c:v>
                </c:pt>
                <c:pt idx="35">
                  <c:v>38290000</c:v>
                </c:pt>
                <c:pt idx="36">
                  <c:v>34010000</c:v>
                </c:pt>
                <c:pt idx="37">
                  <c:v>42110000</c:v>
                </c:pt>
                <c:pt idx="38">
                  <c:v>31040000</c:v>
                </c:pt>
                <c:pt idx="39">
                  <c:v>35800000</c:v>
                </c:pt>
                <c:pt idx="40">
                  <c:v>18940000</c:v>
                </c:pt>
                <c:pt idx="41">
                  <c:v>23200000</c:v>
                </c:pt>
                <c:pt idx="42">
                  <c:v>29360000</c:v>
                </c:pt>
                <c:pt idx="43">
                  <c:v>23730000</c:v>
                </c:pt>
                <c:pt idx="44">
                  <c:v>67470000</c:v>
                </c:pt>
                <c:pt idx="45">
                  <c:v>39110000</c:v>
                </c:pt>
                <c:pt idx="46">
                  <c:v>17800000</c:v>
                </c:pt>
                <c:pt idx="47">
                  <c:v>23090000</c:v>
                </c:pt>
                <c:pt idx="48">
                  <c:v>22020000</c:v>
                </c:pt>
                <c:pt idx="49">
                  <c:v>24390000</c:v>
                </c:pt>
                <c:pt idx="50">
                  <c:v>56670000</c:v>
                </c:pt>
                <c:pt idx="51">
                  <c:v>32570000</c:v>
                </c:pt>
                <c:pt idx="52">
                  <c:v>73800000</c:v>
                </c:pt>
                <c:pt idx="53">
                  <c:v>33229999.999999996</c:v>
                </c:pt>
                <c:pt idx="54">
                  <c:v>34990000</c:v>
                </c:pt>
                <c:pt idx="55">
                  <c:v>46230000</c:v>
                </c:pt>
                <c:pt idx="56">
                  <c:v>28370000</c:v>
                </c:pt>
                <c:pt idx="57">
                  <c:v>16300000</c:v>
                </c:pt>
                <c:pt idx="58">
                  <c:v>17760000</c:v>
                </c:pt>
                <c:pt idx="59">
                  <c:v>21240000</c:v>
                </c:pt>
                <c:pt idx="60">
                  <c:v>24080000</c:v>
                </c:pt>
                <c:pt idx="61">
                  <c:v>20730000</c:v>
                </c:pt>
                <c:pt idx="62">
                  <c:v>23140000</c:v>
                </c:pt>
                <c:pt idx="63">
                  <c:v>24890000</c:v>
                </c:pt>
                <c:pt idx="64">
                  <c:v>32799999.999999996</c:v>
                </c:pt>
                <c:pt idx="65">
                  <c:v>34950000</c:v>
                </c:pt>
                <c:pt idx="66">
                  <c:v>33070000</c:v>
                </c:pt>
                <c:pt idx="67">
                  <c:v>22380000</c:v>
                </c:pt>
                <c:pt idx="68">
                  <c:v>19300000</c:v>
                </c:pt>
                <c:pt idx="69">
                  <c:v>20800000</c:v>
                </c:pt>
                <c:pt idx="70">
                  <c:v>17430000</c:v>
                </c:pt>
                <c:pt idx="71">
                  <c:v>24990000</c:v>
                </c:pt>
                <c:pt idx="72">
                  <c:v>22840000</c:v>
                </c:pt>
                <c:pt idx="73">
                  <c:v>26750000</c:v>
                </c:pt>
                <c:pt idx="74">
                  <c:v>30860000</c:v>
                </c:pt>
                <c:pt idx="75">
                  <c:v>25850000</c:v>
                </c:pt>
                <c:pt idx="76">
                  <c:v>28390000</c:v>
                </c:pt>
                <c:pt idx="77">
                  <c:v>36850000</c:v>
                </c:pt>
                <c:pt idx="78">
                  <c:v>37020000</c:v>
                </c:pt>
                <c:pt idx="79">
                  <c:v>32090000.000000004</c:v>
                </c:pt>
                <c:pt idx="80">
                  <c:v>28120000</c:v>
                </c:pt>
                <c:pt idx="81">
                  <c:v>27630000</c:v>
                </c:pt>
                <c:pt idx="82">
                  <c:v>35810000</c:v>
                </c:pt>
                <c:pt idx="83">
                  <c:v>45910000</c:v>
                </c:pt>
                <c:pt idx="84">
                  <c:v>36940000</c:v>
                </c:pt>
                <c:pt idx="85">
                  <c:v>34770000</c:v>
                </c:pt>
                <c:pt idx="86">
                  <c:v>34320000</c:v>
                </c:pt>
                <c:pt idx="87">
                  <c:v>44390000</c:v>
                </c:pt>
                <c:pt idx="88">
                  <c:v>46880000</c:v>
                </c:pt>
                <c:pt idx="89">
                  <c:v>24150000</c:v>
                </c:pt>
                <c:pt idx="90">
                  <c:v>26350000</c:v>
                </c:pt>
                <c:pt idx="91">
                  <c:v>45670000</c:v>
                </c:pt>
                <c:pt idx="92">
                  <c:v>44790000</c:v>
                </c:pt>
                <c:pt idx="93">
                  <c:v>42680000</c:v>
                </c:pt>
                <c:pt idx="94">
                  <c:v>24410000</c:v>
                </c:pt>
                <c:pt idx="95">
                  <c:v>34210000</c:v>
                </c:pt>
                <c:pt idx="96">
                  <c:v>25780000</c:v>
                </c:pt>
                <c:pt idx="97">
                  <c:v>43020000</c:v>
                </c:pt>
                <c:pt idx="98">
                  <c:v>28550000</c:v>
                </c:pt>
                <c:pt idx="99">
                  <c:v>41030000</c:v>
                </c:pt>
                <c:pt idx="100">
                  <c:v>72100000</c:v>
                </c:pt>
                <c:pt idx="101">
                  <c:v>30520000</c:v>
                </c:pt>
                <c:pt idx="102">
                  <c:v>25600000</c:v>
                </c:pt>
                <c:pt idx="103">
                  <c:v>25520000</c:v>
                </c:pt>
                <c:pt idx="104">
                  <c:v>48870000</c:v>
                </c:pt>
                <c:pt idx="105">
                  <c:v>23410000</c:v>
                </c:pt>
                <c:pt idx="106">
                  <c:v>23380000</c:v>
                </c:pt>
                <c:pt idx="107">
                  <c:v>26610000</c:v>
                </c:pt>
                <c:pt idx="108">
                  <c:v>27750000</c:v>
                </c:pt>
                <c:pt idx="109">
                  <c:v>48360000</c:v>
                </c:pt>
                <c:pt idx="110">
                  <c:v>18510000</c:v>
                </c:pt>
                <c:pt idx="111">
                  <c:v>17930000</c:v>
                </c:pt>
                <c:pt idx="112">
                  <c:v>25870000</c:v>
                </c:pt>
                <c:pt idx="113">
                  <c:v>24110000</c:v>
                </c:pt>
                <c:pt idx="114">
                  <c:v>40900000</c:v>
                </c:pt>
                <c:pt idx="115">
                  <c:v>82440000</c:v>
                </c:pt>
                <c:pt idx="116">
                  <c:v>68970000</c:v>
                </c:pt>
                <c:pt idx="117">
                  <c:v>18450000</c:v>
                </c:pt>
                <c:pt idx="118">
                  <c:v>31290000</c:v>
                </c:pt>
                <c:pt idx="119">
                  <c:v>13860000</c:v>
                </c:pt>
                <c:pt idx="120">
                  <c:v>28470000</c:v>
                </c:pt>
                <c:pt idx="121">
                  <c:v>25600000</c:v>
                </c:pt>
                <c:pt idx="122">
                  <c:v>26530000</c:v>
                </c:pt>
                <c:pt idx="123">
                  <c:v>52260000</c:v>
                </c:pt>
                <c:pt idx="124">
                  <c:v>60610000</c:v>
                </c:pt>
                <c:pt idx="125">
                  <c:v>33310000.000000004</c:v>
                </c:pt>
                <c:pt idx="126">
                  <c:v>42310000</c:v>
                </c:pt>
                <c:pt idx="127">
                  <c:v>28490000</c:v>
                </c:pt>
                <c:pt idx="128">
                  <c:v>35680000</c:v>
                </c:pt>
                <c:pt idx="129">
                  <c:v>35040000</c:v>
                </c:pt>
                <c:pt idx="130">
                  <c:v>20090000</c:v>
                </c:pt>
                <c:pt idx="131">
                  <c:v>19710000</c:v>
                </c:pt>
                <c:pt idx="132">
                  <c:v>26030000</c:v>
                </c:pt>
                <c:pt idx="133">
                  <c:v>55910000</c:v>
                </c:pt>
                <c:pt idx="134">
                  <c:v>19160000</c:v>
                </c:pt>
                <c:pt idx="135">
                  <c:v>25780000</c:v>
                </c:pt>
                <c:pt idx="136">
                  <c:v>25320000</c:v>
                </c:pt>
                <c:pt idx="137">
                  <c:v>38450000</c:v>
                </c:pt>
                <c:pt idx="138">
                  <c:v>18230000</c:v>
                </c:pt>
                <c:pt idx="139">
                  <c:v>28510000</c:v>
                </c:pt>
                <c:pt idx="140">
                  <c:v>30650000</c:v>
                </c:pt>
                <c:pt idx="141">
                  <c:v>23010000</c:v>
                </c:pt>
                <c:pt idx="142">
                  <c:v>21510000</c:v>
                </c:pt>
                <c:pt idx="143">
                  <c:v>50900000</c:v>
                </c:pt>
                <c:pt idx="144">
                  <c:v>33740000</c:v>
                </c:pt>
                <c:pt idx="145">
                  <c:v>48000000</c:v>
                </c:pt>
                <c:pt idx="146">
                  <c:v>16900000</c:v>
                </c:pt>
                <c:pt idx="147">
                  <c:v>17430000</c:v>
                </c:pt>
                <c:pt idx="148">
                  <c:v>17350000</c:v>
                </c:pt>
                <c:pt idx="149">
                  <c:v>23730000</c:v>
                </c:pt>
                <c:pt idx="150">
                  <c:v>28450000</c:v>
                </c:pt>
                <c:pt idx="151">
                  <c:v>13150000</c:v>
                </c:pt>
                <c:pt idx="152">
                  <c:v>11620000</c:v>
                </c:pt>
                <c:pt idx="153">
                  <c:v>22980000</c:v>
                </c:pt>
                <c:pt idx="154">
                  <c:v>23250000</c:v>
                </c:pt>
                <c:pt idx="155">
                  <c:v>41130000</c:v>
                </c:pt>
                <c:pt idx="156">
                  <c:v>32600000</c:v>
                </c:pt>
                <c:pt idx="157">
                  <c:v>22540000</c:v>
                </c:pt>
                <c:pt idx="158">
                  <c:v>25770000</c:v>
                </c:pt>
                <c:pt idx="159">
                  <c:v>15770000</c:v>
                </c:pt>
                <c:pt idx="160">
                  <c:v>33500000</c:v>
                </c:pt>
                <c:pt idx="161">
                  <c:v>11420000</c:v>
                </c:pt>
                <c:pt idx="162">
                  <c:v>18870000</c:v>
                </c:pt>
                <c:pt idx="163">
                  <c:v>15360000</c:v>
                </c:pt>
                <c:pt idx="164">
                  <c:v>11760000</c:v>
                </c:pt>
                <c:pt idx="165">
                  <c:v>11980000</c:v>
                </c:pt>
                <c:pt idx="166">
                  <c:v>17550000</c:v>
                </c:pt>
                <c:pt idx="167">
                  <c:v>15040000</c:v>
                </c:pt>
                <c:pt idx="168">
                  <c:v>19980000</c:v>
                </c:pt>
                <c:pt idx="169">
                  <c:v>31200000</c:v>
                </c:pt>
                <c:pt idx="170">
                  <c:v>28410000</c:v>
                </c:pt>
                <c:pt idx="171">
                  <c:v>15970000</c:v>
                </c:pt>
                <c:pt idx="172">
                  <c:v>19620000</c:v>
                </c:pt>
                <c:pt idx="173">
                  <c:v>34280000</c:v>
                </c:pt>
                <c:pt idx="174">
                  <c:v>28200000</c:v>
                </c:pt>
                <c:pt idx="175">
                  <c:v>38350000</c:v>
                </c:pt>
                <c:pt idx="176">
                  <c:v>82080000</c:v>
                </c:pt>
                <c:pt idx="177">
                  <c:v>19040000</c:v>
                </c:pt>
                <c:pt idx="178">
                  <c:v>14110000</c:v>
                </c:pt>
                <c:pt idx="179">
                  <c:v>18380000</c:v>
                </c:pt>
                <c:pt idx="180">
                  <c:v>19170000</c:v>
                </c:pt>
                <c:pt idx="181">
                  <c:v>23660000</c:v>
                </c:pt>
                <c:pt idx="182">
                  <c:v>18750000</c:v>
                </c:pt>
                <c:pt idx="183">
                  <c:v>16649999.999999998</c:v>
                </c:pt>
                <c:pt idx="184">
                  <c:v>16040000</c:v>
                </c:pt>
                <c:pt idx="185">
                  <c:v>24270000</c:v>
                </c:pt>
                <c:pt idx="186">
                  <c:v>51610000</c:v>
                </c:pt>
                <c:pt idx="187">
                  <c:v>59510000</c:v>
                </c:pt>
                <c:pt idx="188">
                  <c:v>23830000</c:v>
                </c:pt>
                <c:pt idx="189">
                  <c:v>25230000</c:v>
                </c:pt>
                <c:pt idx="190">
                  <c:v>31470000</c:v>
                </c:pt>
                <c:pt idx="191">
                  <c:v>2470000</c:v>
                </c:pt>
                <c:pt idx="192">
                  <c:v>18050000</c:v>
                </c:pt>
                <c:pt idx="193">
                  <c:v>21660000</c:v>
                </c:pt>
                <c:pt idx="194">
                  <c:v>12210000</c:v>
                </c:pt>
                <c:pt idx="195">
                  <c:v>15030000</c:v>
                </c:pt>
                <c:pt idx="196">
                  <c:v>22080000</c:v>
                </c:pt>
                <c:pt idx="197">
                  <c:v>19390000</c:v>
                </c:pt>
                <c:pt idx="198">
                  <c:v>18090000</c:v>
                </c:pt>
                <c:pt idx="199">
                  <c:v>68500000</c:v>
                </c:pt>
                <c:pt idx="200">
                  <c:v>22660000</c:v>
                </c:pt>
                <c:pt idx="201">
                  <c:v>19190000</c:v>
                </c:pt>
                <c:pt idx="202">
                  <c:v>21470000</c:v>
                </c:pt>
                <c:pt idx="203">
                  <c:v>55170000</c:v>
                </c:pt>
                <c:pt idx="204">
                  <c:v>17540000</c:v>
                </c:pt>
                <c:pt idx="205">
                  <c:v>24550000</c:v>
                </c:pt>
                <c:pt idx="206">
                  <c:v>16830000</c:v>
                </c:pt>
                <c:pt idx="207">
                  <c:v>20160000</c:v>
                </c:pt>
                <c:pt idx="208">
                  <c:v>17030000</c:v>
                </c:pt>
                <c:pt idx="209">
                  <c:v>20170000</c:v>
                </c:pt>
                <c:pt idx="210">
                  <c:v>24530000</c:v>
                </c:pt>
                <c:pt idx="211">
                  <c:v>20970000</c:v>
                </c:pt>
                <c:pt idx="212">
                  <c:v>25410000</c:v>
                </c:pt>
                <c:pt idx="213">
                  <c:v>16410000</c:v>
                </c:pt>
                <c:pt idx="214">
                  <c:v>21380000</c:v>
                </c:pt>
                <c:pt idx="215">
                  <c:v>26630000</c:v>
                </c:pt>
                <c:pt idx="216">
                  <c:v>10610000</c:v>
                </c:pt>
                <c:pt idx="217">
                  <c:v>12120000</c:v>
                </c:pt>
                <c:pt idx="218">
                  <c:v>13830000</c:v>
                </c:pt>
                <c:pt idx="219">
                  <c:v>13130000</c:v>
                </c:pt>
                <c:pt idx="220">
                  <c:v>14030000</c:v>
                </c:pt>
                <c:pt idx="221">
                  <c:v>36400000</c:v>
                </c:pt>
                <c:pt idx="222">
                  <c:v>16800000</c:v>
                </c:pt>
                <c:pt idx="223">
                  <c:v>26320000</c:v>
                </c:pt>
                <c:pt idx="224">
                  <c:v>82350000</c:v>
                </c:pt>
                <c:pt idx="225">
                  <c:v>21200000</c:v>
                </c:pt>
                <c:pt idx="226">
                  <c:v>10800000</c:v>
                </c:pt>
                <c:pt idx="227">
                  <c:v>16970000</c:v>
                </c:pt>
                <c:pt idx="228">
                  <c:v>22270000</c:v>
                </c:pt>
                <c:pt idx="229">
                  <c:v>19620000</c:v>
                </c:pt>
                <c:pt idx="230">
                  <c:v>16379999.999999998</c:v>
                </c:pt>
                <c:pt idx="231">
                  <c:v>16059999.999999998</c:v>
                </c:pt>
                <c:pt idx="232">
                  <c:v>17280000</c:v>
                </c:pt>
                <c:pt idx="233">
                  <c:v>28520000</c:v>
                </c:pt>
                <c:pt idx="234">
                  <c:v>21220000</c:v>
                </c:pt>
                <c:pt idx="235">
                  <c:v>61020000</c:v>
                </c:pt>
                <c:pt idx="236">
                  <c:v>47260000</c:v>
                </c:pt>
                <c:pt idx="237">
                  <c:v>18080000</c:v>
                </c:pt>
                <c:pt idx="238">
                  <c:v>20060000</c:v>
                </c:pt>
                <c:pt idx="239">
                  <c:v>14330000</c:v>
                </c:pt>
                <c:pt idx="240">
                  <c:v>11950000</c:v>
                </c:pt>
                <c:pt idx="241">
                  <c:v>23160000</c:v>
                </c:pt>
                <c:pt idx="242">
                  <c:v>13440000</c:v>
                </c:pt>
                <c:pt idx="243">
                  <c:v>14440000</c:v>
                </c:pt>
                <c:pt idx="244">
                  <c:v>30060000</c:v>
                </c:pt>
                <c:pt idx="245">
                  <c:v>23930000</c:v>
                </c:pt>
                <c:pt idx="246">
                  <c:v>26210000</c:v>
                </c:pt>
                <c:pt idx="247">
                  <c:v>16079999.999999998</c:v>
                </c:pt>
                <c:pt idx="248">
                  <c:v>15260000</c:v>
                </c:pt>
                <c:pt idx="249">
                  <c:v>19300000</c:v>
                </c:pt>
                <c:pt idx="250">
                  <c:v>12440000</c:v>
                </c:pt>
                <c:pt idx="251">
                  <c:v>14380000</c:v>
                </c:pt>
                <c:pt idx="252">
                  <c:v>14290000</c:v>
                </c:pt>
                <c:pt idx="253">
                  <c:v>13620000</c:v>
                </c:pt>
                <c:pt idx="254">
                  <c:v>29810000</c:v>
                </c:pt>
                <c:pt idx="255">
                  <c:v>30730000</c:v>
                </c:pt>
                <c:pt idx="256">
                  <c:v>21730000</c:v>
                </c:pt>
                <c:pt idx="257">
                  <c:v>14590000</c:v>
                </c:pt>
                <c:pt idx="258">
                  <c:v>17990000</c:v>
                </c:pt>
                <c:pt idx="259">
                  <c:v>15150000</c:v>
                </c:pt>
                <c:pt idx="260">
                  <c:v>20690000</c:v>
                </c:pt>
                <c:pt idx="261">
                  <c:v>17570000</c:v>
                </c:pt>
                <c:pt idx="262">
                  <c:v>29840000</c:v>
                </c:pt>
                <c:pt idx="263">
                  <c:v>11400000</c:v>
                </c:pt>
                <c:pt idx="264">
                  <c:v>17470000</c:v>
                </c:pt>
                <c:pt idx="265">
                  <c:v>22940000</c:v>
                </c:pt>
                <c:pt idx="266">
                  <c:v>60570000</c:v>
                </c:pt>
                <c:pt idx="267">
                  <c:v>63320000</c:v>
                </c:pt>
                <c:pt idx="268">
                  <c:v>17820000</c:v>
                </c:pt>
                <c:pt idx="269">
                  <c:v>15840000</c:v>
                </c:pt>
                <c:pt idx="270">
                  <c:v>31990000</c:v>
                </c:pt>
                <c:pt idx="271">
                  <c:v>40650000</c:v>
                </c:pt>
                <c:pt idx="272">
                  <c:v>18240000</c:v>
                </c:pt>
                <c:pt idx="273">
                  <c:v>25400000</c:v>
                </c:pt>
                <c:pt idx="274">
                  <c:v>17100000</c:v>
                </c:pt>
                <c:pt idx="275">
                  <c:v>29940000</c:v>
                </c:pt>
                <c:pt idx="276">
                  <c:v>20150000</c:v>
                </c:pt>
                <c:pt idx="277">
                  <c:v>14860000</c:v>
                </c:pt>
                <c:pt idx="278">
                  <c:v>16739999.999999998</c:v>
                </c:pt>
                <c:pt idx="279">
                  <c:v>16190000.000000002</c:v>
                </c:pt>
                <c:pt idx="280">
                  <c:v>24280000</c:v>
                </c:pt>
                <c:pt idx="281">
                  <c:v>27850000</c:v>
                </c:pt>
                <c:pt idx="282">
                  <c:v>17610000</c:v>
                </c:pt>
                <c:pt idx="283">
                  <c:v>22760000</c:v>
                </c:pt>
                <c:pt idx="284">
                  <c:v>15320000</c:v>
                </c:pt>
                <c:pt idx="285">
                  <c:v>25800000</c:v>
                </c:pt>
                <c:pt idx="286">
                  <c:v>23710000</c:v>
                </c:pt>
                <c:pt idx="287">
                  <c:v>16660000</c:v>
                </c:pt>
                <c:pt idx="288">
                  <c:v>28400000</c:v>
                </c:pt>
                <c:pt idx="289">
                  <c:v>31370000</c:v>
                </c:pt>
                <c:pt idx="290">
                  <c:v>32740000.000000004</c:v>
                </c:pt>
                <c:pt idx="291">
                  <c:v>26460000</c:v>
                </c:pt>
                <c:pt idx="292">
                  <c:v>13040000</c:v>
                </c:pt>
                <c:pt idx="293">
                  <c:v>23300000</c:v>
                </c:pt>
                <c:pt idx="294">
                  <c:v>25580000</c:v>
                </c:pt>
                <c:pt idx="295">
                  <c:v>29480000</c:v>
                </c:pt>
                <c:pt idx="296">
                  <c:v>60720000</c:v>
                </c:pt>
                <c:pt idx="297">
                  <c:v>36040000</c:v>
                </c:pt>
                <c:pt idx="298">
                  <c:v>58060000</c:v>
                </c:pt>
                <c:pt idx="299">
                  <c:v>21840000</c:v>
                </c:pt>
                <c:pt idx="300">
                  <c:v>22880000</c:v>
                </c:pt>
                <c:pt idx="301">
                  <c:v>57070000</c:v>
                </c:pt>
                <c:pt idx="302">
                  <c:v>60000000</c:v>
                </c:pt>
                <c:pt idx="303">
                  <c:v>54390000</c:v>
                </c:pt>
                <c:pt idx="304">
                  <c:v>47090000</c:v>
                </c:pt>
                <c:pt idx="305">
                  <c:v>21880000</c:v>
                </c:pt>
                <c:pt idx="306">
                  <c:v>29690000</c:v>
                </c:pt>
                <c:pt idx="307">
                  <c:v>34670000</c:v>
                </c:pt>
                <c:pt idx="308">
                  <c:v>42660000</c:v>
                </c:pt>
                <c:pt idx="309">
                  <c:v>17210000</c:v>
                </c:pt>
                <c:pt idx="310">
                  <c:v>34850000</c:v>
                </c:pt>
                <c:pt idx="311">
                  <c:v>29210000</c:v>
                </c:pt>
                <c:pt idx="312">
                  <c:v>25760000</c:v>
                </c:pt>
                <c:pt idx="313">
                  <c:v>26970000</c:v>
                </c:pt>
                <c:pt idx="314">
                  <c:v>37760000</c:v>
                </c:pt>
                <c:pt idx="315">
                  <c:v>23060000</c:v>
                </c:pt>
                <c:pt idx="316">
                  <c:v>37850000</c:v>
                </c:pt>
                <c:pt idx="317">
                  <c:v>58430000</c:v>
                </c:pt>
                <c:pt idx="318">
                  <c:v>26500000</c:v>
                </c:pt>
                <c:pt idx="319">
                  <c:v>62280000</c:v>
                </c:pt>
                <c:pt idx="320">
                  <c:v>42680000</c:v>
                </c:pt>
                <c:pt idx="321">
                  <c:v>38970000</c:v>
                </c:pt>
                <c:pt idx="322">
                  <c:v>73710000</c:v>
                </c:pt>
                <c:pt idx="323">
                  <c:v>73400000</c:v>
                </c:pt>
                <c:pt idx="324">
                  <c:v>69000000</c:v>
                </c:pt>
                <c:pt idx="325">
                  <c:v>121810000</c:v>
                </c:pt>
                <c:pt idx="326">
                  <c:v>80850000</c:v>
                </c:pt>
                <c:pt idx="327">
                  <c:v>15120000</c:v>
                </c:pt>
                <c:pt idx="328">
                  <c:v>24980000</c:v>
                </c:pt>
                <c:pt idx="329">
                  <c:v>29140000</c:v>
                </c:pt>
                <c:pt idx="330">
                  <c:v>24590000</c:v>
                </c:pt>
                <c:pt idx="331">
                  <c:v>25910000</c:v>
                </c:pt>
                <c:pt idx="332">
                  <c:v>23180000</c:v>
                </c:pt>
                <c:pt idx="333">
                  <c:v>28470000</c:v>
                </c:pt>
                <c:pt idx="334">
                  <c:v>30910000</c:v>
                </c:pt>
                <c:pt idx="335">
                  <c:v>49180000</c:v>
                </c:pt>
                <c:pt idx="336">
                  <c:v>39890000</c:v>
                </c:pt>
                <c:pt idx="337">
                  <c:v>66160000</c:v>
                </c:pt>
                <c:pt idx="338">
                  <c:v>38130000</c:v>
                </c:pt>
                <c:pt idx="339">
                  <c:v>35880000</c:v>
                </c:pt>
                <c:pt idx="340">
                  <c:v>48290000</c:v>
                </c:pt>
                <c:pt idx="341">
                  <c:v>26380000</c:v>
                </c:pt>
                <c:pt idx="342">
                  <c:v>35920000</c:v>
                </c:pt>
                <c:pt idx="343">
                  <c:v>54450000</c:v>
                </c:pt>
                <c:pt idx="344">
                  <c:v>81820000</c:v>
                </c:pt>
                <c:pt idx="345">
                  <c:v>79120000</c:v>
                </c:pt>
                <c:pt idx="346">
                  <c:v>62110000</c:v>
                </c:pt>
                <c:pt idx="347">
                  <c:v>28630000</c:v>
                </c:pt>
                <c:pt idx="348">
                  <c:v>31150000</c:v>
                </c:pt>
                <c:pt idx="349">
                  <c:v>45540000</c:v>
                </c:pt>
                <c:pt idx="350">
                  <c:v>30750000</c:v>
                </c:pt>
                <c:pt idx="351">
                  <c:v>23580000</c:v>
                </c:pt>
                <c:pt idx="352">
                  <c:v>25190000</c:v>
                </c:pt>
                <c:pt idx="353">
                  <c:v>41990000</c:v>
                </c:pt>
                <c:pt idx="354">
                  <c:v>24140000</c:v>
                </c:pt>
                <c:pt idx="355">
                  <c:v>18450000</c:v>
                </c:pt>
                <c:pt idx="356">
                  <c:v>23960000</c:v>
                </c:pt>
                <c:pt idx="357">
                  <c:v>21190000</c:v>
                </c:pt>
                <c:pt idx="358">
                  <c:v>41470000</c:v>
                </c:pt>
                <c:pt idx="359">
                  <c:v>52040000</c:v>
                </c:pt>
                <c:pt idx="360">
                  <c:v>37930000</c:v>
                </c:pt>
                <c:pt idx="361">
                  <c:v>23640000</c:v>
                </c:pt>
                <c:pt idx="362">
                  <c:v>26120000</c:v>
                </c:pt>
                <c:pt idx="363">
                  <c:v>52950000</c:v>
                </c:pt>
                <c:pt idx="364">
                  <c:v>22410000</c:v>
                </c:pt>
                <c:pt idx="365">
                  <c:v>16960000</c:v>
                </c:pt>
                <c:pt idx="366">
                  <c:v>25030000</c:v>
                </c:pt>
                <c:pt idx="367">
                  <c:v>27770000</c:v>
                </c:pt>
                <c:pt idx="368">
                  <c:v>21170000</c:v>
                </c:pt>
                <c:pt idx="369">
                  <c:v>26690000</c:v>
                </c:pt>
                <c:pt idx="370">
                  <c:v>25260000</c:v>
                </c:pt>
                <c:pt idx="371">
                  <c:v>16670000.000000002</c:v>
                </c:pt>
                <c:pt idx="372">
                  <c:v>40370000</c:v>
                </c:pt>
                <c:pt idx="373">
                  <c:v>24650000</c:v>
                </c:pt>
                <c:pt idx="374">
                  <c:v>37090000</c:v>
                </c:pt>
                <c:pt idx="375">
                  <c:v>20720000</c:v>
                </c:pt>
                <c:pt idx="376">
                  <c:v>27510000</c:v>
                </c:pt>
                <c:pt idx="377">
                  <c:v>32240000.000000004</c:v>
                </c:pt>
                <c:pt idx="378">
                  <c:v>20570000</c:v>
                </c:pt>
                <c:pt idx="379">
                  <c:v>27420000</c:v>
                </c:pt>
                <c:pt idx="380">
                  <c:v>22160000</c:v>
                </c:pt>
                <c:pt idx="381">
                  <c:v>18770000</c:v>
                </c:pt>
                <c:pt idx="382">
                  <c:v>36880000</c:v>
                </c:pt>
                <c:pt idx="383">
                  <c:v>38970000</c:v>
                </c:pt>
                <c:pt idx="384">
                  <c:v>34860000</c:v>
                </c:pt>
                <c:pt idx="385">
                  <c:v>31900000</c:v>
                </c:pt>
                <c:pt idx="386">
                  <c:v>31570000</c:v>
                </c:pt>
                <c:pt idx="387">
                  <c:v>24240000</c:v>
                </c:pt>
                <c:pt idx="388">
                  <c:v>44620000</c:v>
                </c:pt>
                <c:pt idx="389">
                  <c:v>23350000</c:v>
                </c:pt>
                <c:pt idx="390">
                  <c:v>23390000</c:v>
                </c:pt>
                <c:pt idx="391">
                  <c:v>18170000</c:v>
                </c:pt>
                <c:pt idx="392">
                  <c:v>20080000</c:v>
                </c:pt>
                <c:pt idx="393">
                  <c:v>32560000.000000004</c:v>
                </c:pt>
                <c:pt idx="394">
                  <c:v>19560000</c:v>
                </c:pt>
                <c:pt idx="395">
                  <c:v>23940000</c:v>
                </c:pt>
                <c:pt idx="396">
                  <c:v>25880000</c:v>
                </c:pt>
                <c:pt idx="397">
                  <c:v>27510000</c:v>
                </c:pt>
                <c:pt idx="398">
                  <c:v>46500000</c:v>
                </c:pt>
                <c:pt idx="399">
                  <c:v>27100000</c:v>
                </c:pt>
                <c:pt idx="400">
                  <c:v>19850000</c:v>
                </c:pt>
                <c:pt idx="401">
                  <c:v>27110000</c:v>
                </c:pt>
                <c:pt idx="402">
                  <c:v>22630000</c:v>
                </c:pt>
                <c:pt idx="403">
                  <c:v>39700000</c:v>
                </c:pt>
                <c:pt idx="404">
                  <c:v>25760000</c:v>
                </c:pt>
                <c:pt idx="405">
                  <c:v>20500000</c:v>
                </c:pt>
                <c:pt idx="406">
                  <c:v>36280000</c:v>
                </c:pt>
                <c:pt idx="407">
                  <c:v>39060000</c:v>
                </c:pt>
                <c:pt idx="408">
                  <c:v>30600000</c:v>
                </c:pt>
                <c:pt idx="409">
                  <c:v>36330000</c:v>
                </c:pt>
                <c:pt idx="410">
                  <c:v>38540000</c:v>
                </c:pt>
                <c:pt idx="411">
                  <c:v>35530000</c:v>
                </c:pt>
                <c:pt idx="412">
                  <c:v>23840000</c:v>
                </c:pt>
                <c:pt idx="413">
                  <c:v>29740000</c:v>
                </c:pt>
                <c:pt idx="414">
                  <c:v>30950000</c:v>
                </c:pt>
                <c:pt idx="415">
                  <c:v>24900000</c:v>
                </c:pt>
                <c:pt idx="416">
                  <c:v>25610000</c:v>
                </c:pt>
                <c:pt idx="417">
                  <c:v>53880000</c:v>
                </c:pt>
                <c:pt idx="418">
                  <c:v>43710000</c:v>
                </c:pt>
                <c:pt idx="419">
                  <c:v>58400000</c:v>
                </c:pt>
                <c:pt idx="420">
                  <c:v>37610000</c:v>
                </c:pt>
                <c:pt idx="421">
                  <c:v>40230000</c:v>
                </c:pt>
                <c:pt idx="422">
                  <c:v>36350000</c:v>
                </c:pt>
                <c:pt idx="423">
                  <c:v>57610000</c:v>
                </c:pt>
                <c:pt idx="424">
                  <c:v>28860000</c:v>
                </c:pt>
                <c:pt idx="425">
                  <c:v>47500000</c:v>
                </c:pt>
                <c:pt idx="426">
                  <c:v>61980000</c:v>
                </c:pt>
                <c:pt idx="427">
                  <c:v>88250000</c:v>
                </c:pt>
                <c:pt idx="428">
                  <c:v>48930000</c:v>
                </c:pt>
                <c:pt idx="429">
                  <c:v>42770000</c:v>
                </c:pt>
                <c:pt idx="430">
                  <c:v>25570000</c:v>
                </c:pt>
                <c:pt idx="431">
                  <c:v>5110000</c:v>
                </c:pt>
                <c:pt idx="432">
                  <c:v>26380000</c:v>
                </c:pt>
                <c:pt idx="433">
                  <c:v>21360000</c:v>
                </c:pt>
                <c:pt idx="434">
                  <c:v>32259999.999999996</c:v>
                </c:pt>
                <c:pt idx="435">
                  <c:v>28390000</c:v>
                </c:pt>
                <c:pt idx="436">
                  <c:v>39730000</c:v>
                </c:pt>
                <c:pt idx="437">
                  <c:v>22120000</c:v>
                </c:pt>
                <c:pt idx="438">
                  <c:v>42110000</c:v>
                </c:pt>
                <c:pt idx="439">
                  <c:v>39080000</c:v>
                </c:pt>
                <c:pt idx="440">
                  <c:v>25800000</c:v>
                </c:pt>
                <c:pt idx="441">
                  <c:v>34750000</c:v>
                </c:pt>
                <c:pt idx="442">
                  <c:v>28400000</c:v>
                </c:pt>
                <c:pt idx="443">
                  <c:v>28520000</c:v>
                </c:pt>
                <c:pt idx="444">
                  <c:v>38960000</c:v>
                </c:pt>
                <c:pt idx="445">
                  <c:v>35570000</c:v>
                </c:pt>
                <c:pt idx="446">
                  <c:v>53260000</c:v>
                </c:pt>
                <c:pt idx="447">
                  <c:v>46510000</c:v>
                </c:pt>
                <c:pt idx="448">
                  <c:v>42770000</c:v>
                </c:pt>
                <c:pt idx="449">
                  <c:v>74960000</c:v>
                </c:pt>
                <c:pt idx="450">
                  <c:v>48780000</c:v>
                </c:pt>
                <c:pt idx="451">
                  <c:v>53880000</c:v>
                </c:pt>
                <c:pt idx="452">
                  <c:v>75960000</c:v>
                </c:pt>
                <c:pt idx="453">
                  <c:v>50760000</c:v>
                </c:pt>
                <c:pt idx="454">
                  <c:v>92380000</c:v>
                </c:pt>
                <c:pt idx="455">
                  <c:v>72800000</c:v>
                </c:pt>
                <c:pt idx="456">
                  <c:v>88660000</c:v>
                </c:pt>
                <c:pt idx="457">
                  <c:v>58040000</c:v>
                </c:pt>
                <c:pt idx="458">
                  <c:v>137410000</c:v>
                </c:pt>
                <c:pt idx="459">
                  <c:v>33280000</c:v>
                </c:pt>
                <c:pt idx="460">
                  <c:v>53870000</c:v>
                </c:pt>
                <c:pt idx="461">
                  <c:v>36910000</c:v>
                </c:pt>
                <c:pt idx="462">
                  <c:v>24860000</c:v>
                </c:pt>
                <c:pt idx="463">
                  <c:v>18280000</c:v>
                </c:pt>
                <c:pt idx="464">
                  <c:v>32580000</c:v>
                </c:pt>
                <c:pt idx="465">
                  <c:v>54890000</c:v>
                </c:pt>
                <c:pt idx="466">
                  <c:v>73190000</c:v>
                </c:pt>
                <c:pt idx="467">
                  <c:v>24630000</c:v>
                </c:pt>
                <c:pt idx="468">
                  <c:v>41610000</c:v>
                </c:pt>
                <c:pt idx="469">
                  <c:v>32619999.999999996</c:v>
                </c:pt>
                <c:pt idx="470">
                  <c:v>30710000</c:v>
                </c:pt>
                <c:pt idx="471">
                  <c:v>28350000</c:v>
                </c:pt>
                <c:pt idx="472">
                  <c:v>39610000</c:v>
                </c:pt>
                <c:pt idx="473">
                  <c:v>19780000</c:v>
                </c:pt>
                <c:pt idx="474">
                  <c:v>19200000</c:v>
                </c:pt>
                <c:pt idx="475">
                  <c:v>55130000</c:v>
                </c:pt>
                <c:pt idx="476">
                  <c:v>44450000</c:v>
                </c:pt>
                <c:pt idx="477">
                  <c:v>25200000</c:v>
                </c:pt>
                <c:pt idx="478">
                  <c:v>24520000</c:v>
                </c:pt>
                <c:pt idx="479">
                  <c:v>32500000</c:v>
                </c:pt>
                <c:pt idx="480">
                  <c:v>31490000</c:v>
                </c:pt>
                <c:pt idx="481">
                  <c:v>36720000</c:v>
                </c:pt>
                <c:pt idx="482">
                  <c:v>49750000</c:v>
                </c:pt>
                <c:pt idx="483">
                  <c:v>37560000</c:v>
                </c:pt>
                <c:pt idx="484">
                  <c:v>62890000</c:v>
                </c:pt>
                <c:pt idx="485">
                  <c:v>54130000</c:v>
                </c:pt>
                <c:pt idx="486">
                  <c:v>97910000</c:v>
                </c:pt>
                <c:pt idx="487">
                  <c:v>29400000</c:v>
                </c:pt>
                <c:pt idx="488">
                  <c:v>30550000</c:v>
                </c:pt>
                <c:pt idx="489">
                  <c:v>23290000</c:v>
                </c:pt>
                <c:pt idx="490">
                  <c:v>51860000</c:v>
                </c:pt>
                <c:pt idx="491">
                  <c:v>32030000</c:v>
                </c:pt>
                <c:pt idx="492">
                  <c:v>53510000</c:v>
                </c:pt>
                <c:pt idx="493">
                  <c:v>102880000</c:v>
                </c:pt>
                <c:pt idx="494">
                  <c:v>72430000</c:v>
                </c:pt>
                <c:pt idx="495">
                  <c:v>118340000</c:v>
                </c:pt>
                <c:pt idx="496">
                  <c:v>52770000</c:v>
                </c:pt>
                <c:pt idx="497">
                  <c:v>42820000</c:v>
                </c:pt>
                <c:pt idx="498">
                  <c:v>31750000</c:v>
                </c:pt>
                <c:pt idx="499">
                  <c:v>45640000</c:v>
                </c:pt>
                <c:pt idx="500">
                  <c:v>45160000</c:v>
                </c:pt>
                <c:pt idx="501">
                  <c:v>28090000</c:v>
                </c:pt>
                <c:pt idx="502">
                  <c:v>37080000</c:v>
                </c:pt>
                <c:pt idx="503">
                  <c:v>40350000</c:v>
                </c:pt>
                <c:pt idx="504">
                  <c:v>77990000</c:v>
                </c:pt>
                <c:pt idx="505">
                  <c:v>36570000</c:v>
                </c:pt>
                <c:pt idx="506">
                  <c:v>26510000</c:v>
                </c:pt>
                <c:pt idx="507">
                  <c:v>32640000</c:v>
                </c:pt>
                <c:pt idx="508">
                  <c:v>33310000.000000004</c:v>
                </c:pt>
                <c:pt idx="509">
                  <c:v>33990000</c:v>
                </c:pt>
                <c:pt idx="510">
                  <c:v>41530000</c:v>
                </c:pt>
                <c:pt idx="511">
                  <c:v>25130000</c:v>
                </c:pt>
                <c:pt idx="512">
                  <c:v>31480000</c:v>
                </c:pt>
                <c:pt idx="513">
                  <c:v>38120000</c:v>
                </c:pt>
                <c:pt idx="514">
                  <c:v>29500000</c:v>
                </c:pt>
                <c:pt idx="515">
                  <c:v>29090000</c:v>
                </c:pt>
                <c:pt idx="516">
                  <c:v>33360000</c:v>
                </c:pt>
                <c:pt idx="517">
                  <c:v>27810000</c:v>
                </c:pt>
                <c:pt idx="518">
                  <c:v>37520000</c:v>
                </c:pt>
                <c:pt idx="519">
                  <c:v>49770000</c:v>
                </c:pt>
                <c:pt idx="520">
                  <c:v>44010000</c:v>
                </c:pt>
                <c:pt idx="521">
                  <c:v>30600000</c:v>
                </c:pt>
                <c:pt idx="522">
                  <c:v>47600000</c:v>
                </c:pt>
                <c:pt idx="523">
                  <c:v>65489999.999999993</c:v>
                </c:pt>
                <c:pt idx="524">
                  <c:v>38840000</c:v>
                </c:pt>
                <c:pt idx="525">
                  <c:v>27480000</c:v>
                </c:pt>
                <c:pt idx="526">
                  <c:v>35030000</c:v>
                </c:pt>
                <c:pt idx="527">
                  <c:v>28510000</c:v>
                </c:pt>
                <c:pt idx="528">
                  <c:v>36670000</c:v>
                </c:pt>
                <c:pt idx="529">
                  <c:v>33299999.999999996</c:v>
                </c:pt>
                <c:pt idx="530">
                  <c:v>55560000</c:v>
                </c:pt>
                <c:pt idx="531">
                  <c:v>74290000</c:v>
                </c:pt>
                <c:pt idx="532">
                  <c:v>84320000</c:v>
                </c:pt>
                <c:pt idx="533">
                  <c:v>57920000</c:v>
                </c:pt>
                <c:pt idx="534">
                  <c:v>60100000</c:v>
                </c:pt>
                <c:pt idx="535">
                  <c:v>125040000</c:v>
                </c:pt>
                <c:pt idx="536">
                  <c:v>86400000</c:v>
                </c:pt>
                <c:pt idx="537">
                  <c:v>83710000</c:v>
                </c:pt>
                <c:pt idx="538">
                  <c:v>108810000</c:v>
                </c:pt>
                <c:pt idx="539">
                  <c:v>36580000</c:v>
                </c:pt>
                <c:pt idx="540">
                  <c:v>39210000</c:v>
                </c:pt>
                <c:pt idx="541">
                  <c:v>30410000</c:v>
                </c:pt>
                <c:pt idx="542">
                  <c:v>38670000</c:v>
                </c:pt>
                <c:pt idx="543">
                  <c:v>49380000</c:v>
                </c:pt>
                <c:pt idx="544">
                  <c:v>42920000</c:v>
                </c:pt>
                <c:pt idx="545">
                  <c:v>84830000</c:v>
                </c:pt>
                <c:pt idx="546">
                  <c:v>3600000</c:v>
                </c:pt>
                <c:pt idx="547">
                  <c:v>39180000</c:v>
                </c:pt>
                <c:pt idx="548">
                  <c:v>41130000</c:v>
                </c:pt>
                <c:pt idx="549">
                  <c:v>29600000</c:v>
                </c:pt>
                <c:pt idx="550">
                  <c:v>46260000</c:v>
                </c:pt>
                <c:pt idx="551">
                  <c:v>36560000</c:v>
                </c:pt>
                <c:pt idx="552">
                  <c:v>31470000</c:v>
                </c:pt>
                <c:pt idx="553">
                  <c:v>30220000</c:v>
                </c:pt>
                <c:pt idx="554">
                  <c:v>30130000</c:v>
                </c:pt>
                <c:pt idx="555">
                  <c:v>43610000</c:v>
                </c:pt>
                <c:pt idx="556">
                  <c:v>37620000</c:v>
                </c:pt>
                <c:pt idx="557">
                  <c:v>62570000</c:v>
                </c:pt>
                <c:pt idx="558">
                  <c:v>69320000</c:v>
                </c:pt>
                <c:pt idx="559">
                  <c:v>55040000</c:v>
                </c:pt>
                <c:pt idx="560">
                  <c:v>44910000</c:v>
                </c:pt>
                <c:pt idx="561">
                  <c:v>65360000</c:v>
                </c:pt>
                <c:pt idx="562">
                  <c:v>50130000</c:v>
                </c:pt>
                <c:pt idx="563">
                  <c:v>59890000</c:v>
                </c:pt>
                <c:pt idx="564">
                  <c:v>30300000</c:v>
                </c:pt>
                <c:pt idx="565">
                  <c:v>39300000</c:v>
                </c:pt>
                <c:pt idx="566">
                  <c:v>60080000</c:v>
                </c:pt>
                <c:pt idx="567">
                  <c:v>68090000</c:v>
                </c:pt>
                <c:pt idx="568">
                  <c:v>41390000</c:v>
                </c:pt>
                <c:pt idx="569">
                  <c:v>66430000.000000007</c:v>
                </c:pt>
                <c:pt idx="570">
                  <c:v>55320000</c:v>
                </c:pt>
                <c:pt idx="571">
                  <c:v>64129999.999999993</c:v>
                </c:pt>
                <c:pt idx="572">
                  <c:v>63880000</c:v>
                </c:pt>
                <c:pt idx="573">
                  <c:v>48260000</c:v>
                </c:pt>
                <c:pt idx="574">
                  <c:v>44670000</c:v>
                </c:pt>
                <c:pt idx="575">
                  <c:v>61090000</c:v>
                </c:pt>
                <c:pt idx="576">
                  <c:v>50940000</c:v>
                </c:pt>
                <c:pt idx="577">
                  <c:v>69530000</c:v>
                </c:pt>
                <c:pt idx="578">
                  <c:v>84580000</c:v>
                </c:pt>
                <c:pt idx="579">
                  <c:v>62580000</c:v>
                </c:pt>
                <c:pt idx="580">
                  <c:v>35330000</c:v>
                </c:pt>
                <c:pt idx="581">
                  <c:v>52970000</c:v>
                </c:pt>
                <c:pt idx="582">
                  <c:v>68240000</c:v>
                </c:pt>
                <c:pt idx="583">
                  <c:v>84230000</c:v>
                </c:pt>
                <c:pt idx="584">
                  <c:v>77550000</c:v>
                </c:pt>
                <c:pt idx="585">
                  <c:v>105000000</c:v>
                </c:pt>
                <c:pt idx="586">
                  <c:v>166910000</c:v>
                </c:pt>
                <c:pt idx="587">
                  <c:v>68480000</c:v>
                </c:pt>
                <c:pt idx="588">
                  <c:v>91960000</c:v>
                </c:pt>
                <c:pt idx="589">
                  <c:v>70940000</c:v>
                </c:pt>
                <c:pt idx="590">
                  <c:v>34950000</c:v>
                </c:pt>
                <c:pt idx="591">
                  <c:v>54160000</c:v>
                </c:pt>
                <c:pt idx="592">
                  <c:v>124850000</c:v>
                </c:pt>
                <c:pt idx="593">
                  <c:v>51780000</c:v>
                </c:pt>
                <c:pt idx="594">
                  <c:v>37170000</c:v>
                </c:pt>
                <c:pt idx="595">
                  <c:v>67580000</c:v>
                </c:pt>
                <c:pt idx="596">
                  <c:v>21640000</c:v>
                </c:pt>
                <c:pt idx="597">
                  <c:v>123710000</c:v>
                </c:pt>
                <c:pt idx="598">
                  <c:v>32250000</c:v>
                </c:pt>
                <c:pt idx="599">
                  <c:v>20720000</c:v>
                </c:pt>
                <c:pt idx="600">
                  <c:v>24120000</c:v>
                </c:pt>
                <c:pt idx="601">
                  <c:v>22570000</c:v>
                </c:pt>
                <c:pt idx="602">
                  <c:v>28410000</c:v>
                </c:pt>
                <c:pt idx="603">
                  <c:v>46730000</c:v>
                </c:pt>
                <c:pt idx="604">
                  <c:v>88000000</c:v>
                </c:pt>
                <c:pt idx="605">
                  <c:v>24290000</c:v>
                </c:pt>
                <c:pt idx="606">
                  <c:v>16970000</c:v>
                </c:pt>
                <c:pt idx="607">
                  <c:v>22320000</c:v>
                </c:pt>
                <c:pt idx="608">
                  <c:v>31590000</c:v>
                </c:pt>
                <c:pt idx="609">
                  <c:v>29140000</c:v>
                </c:pt>
                <c:pt idx="610">
                  <c:v>39160000</c:v>
                </c:pt>
                <c:pt idx="611">
                  <c:v>36480000</c:v>
                </c:pt>
                <c:pt idx="612">
                  <c:v>35960000</c:v>
                </c:pt>
                <c:pt idx="613">
                  <c:v>39000000</c:v>
                </c:pt>
                <c:pt idx="614">
                  <c:v>61520000</c:v>
                </c:pt>
                <c:pt idx="615">
                  <c:v>53190000</c:v>
                </c:pt>
                <c:pt idx="616">
                  <c:v>80740000</c:v>
                </c:pt>
                <c:pt idx="617">
                  <c:v>69300000</c:v>
                </c:pt>
                <c:pt idx="618">
                  <c:v>31700000</c:v>
                </c:pt>
                <c:pt idx="619">
                  <c:v>36080000</c:v>
                </c:pt>
                <c:pt idx="620">
                  <c:v>35700000</c:v>
                </c:pt>
                <c:pt idx="621">
                  <c:v>29750000</c:v>
                </c:pt>
                <c:pt idx="622">
                  <c:v>61360000</c:v>
                </c:pt>
                <c:pt idx="623">
                  <c:v>39340000</c:v>
                </c:pt>
                <c:pt idx="624">
                  <c:v>35370000</c:v>
                </c:pt>
                <c:pt idx="625">
                  <c:v>16579999.999999998</c:v>
                </c:pt>
                <c:pt idx="626">
                  <c:v>32650000</c:v>
                </c:pt>
                <c:pt idx="627">
                  <c:v>45270000</c:v>
                </c:pt>
                <c:pt idx="628">
                  <c:v>58980000</c:v>
                </c:pt>
                <c:pt idx="629">
                  <c:v>56360000</c:v>
                </c:pt>
                <c:pt idx="630">
                  <c:v>34160000</c:v>
                </c:pt>
                <c:pt idx="631">
                  <c:v>32880000.000000004</c:v>
                </c:pt>
                <c:pt idx="632">
                  <c:v>23110000</c:v>
                </c:pt>
                <c:pt idx="633">
                  <c:v>27210000</c:v>
                </c:pt>
                <c:pt idx="634">
                  <c:v>30740000</c:v>
                </c:pt>
                <c:pt idx="635">
                  <c:v>39560000</c:v>
                </c:pt>
                <c:pt idx="636">
                  <c:v>71330000</c:v>
                </c:pt>
                <c:pt idx="637">
                  <c:v>43910000</c:v>
                </c:pt>
                <c:pt idx="638">
                  <c:v>45180000</c:v>
                </c:pt>
                <c:pt idx="639">
                  <c:v>27760000</c:v>
                </c:pt>
                <c:pt idx="640">
                  <c:v>21190000</c:v>
                </c:pt>
                <c:pt idx="641">
                  <c:v>49200000</c:v>
                </c:pt>
                <c:pt idx="642">
                  <c:v>34660000</c:v>
                </c:pt>
                <c:pt idx="643">
                  <c:v>48100000</c:v>
                </c:pt>
                <c:pt idx="644">
                  <c:v>25940000</c:v>
                </c:pt>
                <c:pt idx="645">
                  <c:v>37360000</c:v>
                </c:pt>
                <c:pt idx="646">
                  <c:v>34910000</c:v>
                </c:pt>
                <c:pt idx="647">
                  <c:v>39500000</c:v>
                </c:pt>
                <c:pt idx="648">
                  <c:v>27730000</c:v>
                </c:pt>
                <c:pt idx="649">
                  <c:v>38460000</c:v>
                </c:pt>
                <c:pt idx="650">
                  <c:v>77380000</c:v>
                </c:pt>
                <c:pt idx="651">
                  <c:v>43370000</c:v>
                </c:pt>
                <c:pt idx="652">
                  <c:v>22770000</c:v>
                </c:pt>
                <c:pt idx="653">
                  <c:v>30700000</c:v>
                </c:pt>
                <c:pt idx="654">
                  <c:v>24040000</c:v>
                </c:pt>
                <c:pt idx="655">
                  <c:v>34390000</c:v>
                </c:pt>
                <c:pt idx="656">
                  <c:v>34690000</c:v>
                </c:pt>
                <c:pt idx="657">
                  <c:v>40750000</c:v>
                </c:pt>
                <c:pt idx="658">
                  <c:v>35190000</c:v>
                </c:pt>
                <c:pt idx="659">
                  <c:v>41230000</c:v>
                </c:pt>
                <c:pt idx="660">
                  <c:v>31190000</c:v>
                </c:pt>
                <c:pt idx="661">
                  <c:v>40170000</c:v>
                </c:pt>
                <c:pt idx="662">
                  <c:v>23090000</c:v>
                </c:pt>
                <c:pt idx="663">
                  <c:v>18380000</c:v>
                </c:pt>
                <c:pt idx="664">
                  <c:v>14720000</c:v>
                </c:pt>
                <c:pt idx="665">
                  <c:v>30740000</c:v>
                </c:pt>
                <c:pt idx="666">
                  <c:v>19590000</c:v>
                </c:pt>
                <c:pt idx="667">
                  <c:v>29640000</c:v>
                </c:pt>
                <c:pt idx="668">
                  <c:v>18780000</c:v>
                </c:pt>
                <c:pt idx="669">
                  <c:v>23320000</c:v>
                </c:pt>
                <c:pt idx="670">
                  <c:v>30840000</c:v>
                </c:pt>
                <c:pt idx="671">
                  <c:v>38340000</c:v>
                </c:pt>
                <c:pt idx="672">
                  <c:v>17950000</c:v>
                </c:pt>
                <c:pt idx="673">
                  <c:v>3970000</c:v>
                </c:pt>
                <c:pt idx="674">
                  <c:v>23580000</c:v>
                </c:pt>
                <c:pt idx="675">
                  <c:v>22980000</c:v>
                </c:pt>
                <c:pt idx="676">
                  <c:v>22550000</c:v>
                </c:pt>
                <c:pt idx="677">
                  <c:v>25820000</c:v>
                </c:pt>
                <c:pt idx="678">
                  <c:v>27880000</c:v>
                </c:pt>
                <c:pt idx="679">
                  <c:v>31750000</c:v>
                </c:pt>
                <c:pt idx="680">
                  <c:v>72540000</c:v>
                </c:pt>
                <c:pt idx="681">
                  <c:v>24720000</c:v>
                </c:pt>
                <c:pt idx="682">
                  <c:v>22320000</c:v>
                </c:pt>
                <c:pt idx="683">
                  <c:v>18750000</c:v>
                </c:pt>
                <c:pt idx="684">
                  <c:v>28420000</c:v>
                </c:pt>
                <c:pt idx="685">
                  <c:v>36300000</c:v>
                </c:pt>
                <c:pt idx="686">
                  <c:v>27350000</c:v>
                </c:pt>
                <c:pt idx="687">
                  <c:v>30700000</c:v>
                </c:pt>
                <c:pt idx="688">
                  <c:v>30750000</c:v>
                </c:pt>
                <c:pt idx="689">
                  <c:v>30940000</c:v>
                </c:pt>
                <c:pt idx="690">
                  <c:v>20930000</c:v>
                </c:pt>
                <c:pt idx="691">
                  <c:v>24240000</c:v>
                </c:pt>
                <c:pt idx="692">
                  <c:v>23870000</c:v>
                </c:pt>
                <c:pt idx="693">
                  <c:v>26910000</c:v>
                </c:pt>
                <c:pt idx="694">
                  <c:v>19360000</c:v>
                </c:pt>
                <c:pt idx="695">
                  <c:v>24460000</c:v>
                </c:pt>
                <c:pt idx="696">
                  <c:v>28750000</c:v>
                </c:pt>
                <c:pt idx="697">
                  <c:v>21460000</c:v>
                </c:pt>
                <c:pt idx="698">
                  <c:v>21930000</c:v>
                </c:pt>
                <c:pt idx="699">
                  <c:v>27060000</c:v>
                </c:pt>
                <c:pt idx="700">
                  <c:v>33270000.000000004</c:v>
                </c:pt>
                <c:pt idx="701">
                  <c:v>18610000</c:v>
                </c:pt>
                <c:pt idx="702">
                  <c:v>28410000</c:v>
                </c:pt>
                <c:pt idx="703">
                  <c:v>29980000</c:v>
                </c:pt>
                <c:pt idx="704">
                  <c:v>33280000</c:v>
                </c:pt>
                <c:pt idx="705">
                  <c:v>48940000</c:v>
                </c:pt>
                <c:pt idx="706">
                  <c:v>23470000</c:v>
                </c:pt>
                <c:pt idx="707">
                  <c:v>34060000</c:v>
                </c:pt>
                <c:pt idx="708">
                  <c:v>29830000</c:v>
                </c:pt>
                <c:pt idx="709">
                  <c:v>43630000</c:v>
                </c:pt>
                <c:pt idx="710">
                  <c:v>62420000</c:v>
                </c:pt>
                <c:pt idx="711">
                  <c:v>85060000</c:v>
                </c:pt>
                <c:pt idx="712">
                  <c:v>58800000</c:v>
                </c:pt>
                <c:pt idx="713">
                  <c:v>23370000</c:v>
                </c:pt>
                <c:pt idx="714">
                  <c:v>38070000</c:v>
                </c:pt>
                <c:pt idx="715">
                  <c:v>33380000.000000004</c:v>
                </c:pt>
                <c:pt idx="716">
                  <c:v>34310000</c:v>
                </c:pt>
                <c:pt idx="717">
                  <c:v>30270000</c:v>
                </c:pt>
                <c:pt idx="718">
                  <c:v>36060000</c:v>
                </c:pt>
                <c:pt idx="719">
                  <c:v>36470000</c:v>
                </c:pt>
                <c:pt idx="720">
                  <c:v>68530000</c:v>
                </c:pt>
                <c:pt idx="721">
                  <c:v>76460000</c:v>
                </c:pt>
                <c:pt idx="722">
                  <c:v>60630000</c:v>
                </c:pt>
                <c:pt idx="723">
                  <c:v>51470000</c:v>
                </c:pt>
                <c:pt idx="724">
                  <c:v>36040000</c:v>
                </c:pt>
                <c:pt idx="725">
                  <c:v>19220000</c:v>
                </c:pt>
                <c:pt idx="726">
                  <c:v>23690000</c:v>
                </c:pt>
                <c:pt idx="727">
                  <c:v>27100000</c:v>
                </c:pt>
                <c:pt idx="728">
                  <c:v>43740000</c:v>
                </c:pt>
                <c:pt idx="729">
                  <c:v>17340000</c:v>
                </c:pt>
                <c:pt idx="730">
                  <c:v>22630000</c:v>
                </c:pt>
                <c:pt idx="731">
                  <c:v>30380000</c:v>
                </c:pt>
                <c:pt idx="732">
                  <c:v>28460000</c:v>
                </c:pt>
                <c:pt idx="733">
                  <c:v>31250000</c:v>
                </c:pt>
                <c:pt idx="734">
                  <c:v>33100000</c:v>
                </c:pt>
                <c:pt idx="735">
                  <c:v>26340000</c:v>
                </c:pt>
                <c:pt idx="736">
                  <c:v>24440000</c:v>
                </c:pt>
                <c:pt idx="737">
                  <c:v>34150000</c:v>
                </c:pt>
                <c:pt idx="738">
                  <c:v>21280000</c:v>
                </c:pt>
                <c:pt idx="739">
                  <c:v>20710000</c:v>
                </c:pt>
                <c:pt idx="740">
                  <c:v>22300000</c:v>
                </c:pt>
                <c:pt idx="741">
                  <c:v>34620000</c:v>
                </c:pt>
                <c:pt idx="742">
                  <c:v>54950000</c:v>
                </c:pt>
                <c:pt idx="743">
                  <c:v>27860000</c:v>
                </c:pt>
                <c:pt idx="744">
                  <c:v>52330000</c:v>
                </c:pt>
                <c:pt idx="745">
                  <c:v>34000000</c:v>
                </c:pt>
                <c:pt idx="746">
                  <c:v>39660000</c:v>
                </c:pt>
                <c:pt idx="747">
                  <c:v>29720000</c:v>
                </c:pt>
                <c:pt idx="748">
                  <c:v>88040000</c:v>
                </c:pt>
                <c:pt idx="749">
                  <c:v>38110000</c:v>
                </c:pt>
                <c:pt idx="750">
                  <c:v>31550000</c:v>
                </c:pt>
                <c:pt idx="751">
                  <c:v>22300000</c:v>
                </c:pt>
                <c:pt idx="752">
                  <c:v>17220000</c:v>
                </c:pt>
                <c:pt idx="753">
                  <c:v>23430000</c:v>
                </c:pt>
                <c:pt idx="754">
                  <c:v>49120000</c:v>
                </c:pt>
                <c:pt idx="755">
                  <c:v>34520000</c:v>
                </c:pt>
                <c:pt idx="756">
                  <c:v>44850000</c:v>
                </c:pt>
                <c:pt idx="757">
                  <c:v>32770000.000000004</c:v>
                </c:pt>
                <c:pt idx="758">
                  <c:v>38000000</c:v>
                </c:pt>
                <c:pt idx="759">
                  <c:v>60650000</c:v>
                </c:pt>
                <c:pt idx="760">
                  <c:v>30030000</c:v>
                </c:pt>
                <c:pt idx="761">
                  <c:v>34320000</c:v>
                </c:pt>
                <c:pt idx="762">
                  <c:v>27880000</c:v>
                </c:pt>
                <c:pt idx="763">
                  <c:v>25080000</c:v>
                </c:pt>
                <c:pt idx="764">
                  <c:v>30980000</c:v>
                </c:pt>
                <c:pt idx="765">
                  <c:v>26740000</c:v>
                </c:pt>
                <c:pt idx="766">
                  <c:v>23900000</c:v>
                </c:pt>
                <c:pt idx="767">
                  <c:v>24130000</c:v>
                </c:pt>
                <c:pt idx="768">
                  <c:v>25330000</c:v>
                </c:pt>
                <c:pt idx="769">
                  <c:v>22190000</c:v>
                </c:pt>
                <c:pt idx="770">
                  <c:v>34770000</c:v>
                </c:pt>
                <c:pt idx="771">
                  <c:v>35630000</c:v>
                </c:pt>
                <c:pt idx="772">
                  <c:v>30370000</c:v>
                </c:pt>
                <c:pt idx="773">
                  <c:v>33500000</c:v>
                </c:pt>
                <c:pt idx="774">
                  <c:v>31720000</c:v>
                </c:pt>
                <c:pt idx="775">
                  <c:v>39430000</c:v>
                </c:pt>
                <c:pt idx="776">
                  <c:v>66700000</c:v>
                </c:pt>
                <c:pt idx="777">
                  <c:v>30020000</c:v>
                </c:pt>
                <c:pt idx="778">
                  <c:v>23470000</c:v>
                </c:pt>
                <c:pt idx="779">
                  <c:v>36390000</c:v>
                </c:pt>
                <c:pt idx="780">
                  <c:v>46380000</c:v>
                </c:pt>
                <c:pt idx="781">
                  <c:v>45160000</c:v>
                </c:pt>
                <c:pt idx="782">
                  <c:v>26750000</c:v>
                </c:pt>
                <c:pt idx="783">
                  <c:v>39640000</c:v>
                </c:pt>
                <c:pt idx="784">
                  <c:v>46690000</c:v>
                </c:pt>
                <c:pt idx="785">
                  <c:v>21210000</c:v>
                </c:pt>
                <c:pt idx="786">
                  <c:v>41250000</c:v>
                </c:pt>
                <c:pt idx="787">
                  <c:v>33479999.999999996</c:v>
                </c:pt>
                <c:pt idx="788">
                  <c:v>41060000</c:v>
                </c:pt>
                <c:pt idx="789">
                  <c:v>28360000</c:v>
                </c:pt>
                <c:pt idx="790">
                  <c:v>25890000</c:v>
                </c:pt>
                <c:pt idx="791">
                  <c:v>28450000</c:v>
                </c:pt>
                <c:pt idx="792">
                  <c:v>21300000</c:v>
                </c:pt>
                <c:pt idx="793">
                  <c:v>21590000</c:v>
                </c:pt>
                <c:pt idx="794">
                  <c:v>29850000</c:v>
                </c:pt>
                <c:pt idx="795">
                  <c:v>24210000</c:v>
                </c:pt>
                <c:pt idx="796">
                  <c:v>28900000</c:v>
                </c:pt>
                <c:pt idx="797">
                  <c:v>18590000</c:v>
                </c:pt>
                <c:pt idx="798">
                  <c:v>22150000</c:v>
                </c:pt>
                <c:pt idx="799">
                  <c:v>36790000</c:v>
                </c:pt>
                <c:pt idx="800">
                  <c:v>19820000</c:v>
                </c:pt>
                <c:pt idx="801">
                  <c:v>19210000</c:v>
                </c:pt>
                <c:pt idx="802">
                  <c:v>28000000</c:v>
                </c:pt>
                <c:pt idx="803">
                  <c:v>23130000</c:v>
                </c:pt>
                <c:pt idx="804">
                  <c:v>32960000</c:v>
                </c:pt>
                <c:pt idx="805">
                  <c:v>38640000</c:v>
                </c:pt>
                <c:pt idx="806">
                  <c:v>51270000</c:v>
                </c:pt>
                <c:pt idx="807">
                  <c:v>52820000</c:v>
                </c:pt>
                <c:pt idx="808">
                  <c:v>30070000</c:v>
                </c:pt>
                <c:pt idx="809">
                  <c:v>22360000</c:v>
                </c:pt>
                <c:pt idx="810">
                  <c:v>23590000</c:v>
                </c:pt>
                <c:pt idx="811">
                  <c:v>23330000</c:v>
                </c:pt>
                <c:pt idx="812">
                  <c:v>23480000</c:v>
                </c:pt>
                <c:pt idx="813">
                  <c:v>37640000</c:v>
                </c:pt>
                <c:pt idx="814">
                  <c:v>18340000</c:v>
                </c:pt>
                <c:pt idx="815">
                  <c:v>62100000</c:v>
                </c:pt>
                <c:pt idx="816">
                  <c:v>25480000</c:v>
                </c:pt>
                <c:pt idx="817">
                  <c:v>24640000</c:v>
                </c:pt>
                <c:pt idx="818">
                  <c:v>34880000</c:v>
                </c:pt>
                <c:pt idx="819">
                  <c:v>27350000</c:v>
                </c:pt>
                <c:pt idx="820">
                  <c:v>49300000</c:v>
                </c:pt>
                <c:pt idx="821">
                  <c:v>19990000</c:v>
                </c:pt>
                <c:pt idx="822">
                  <c:v>21050000</c:v>
                </c:pt>
                <c:pt idx="823">
                  <c:v>25190000</c:v>
                </c:pt>
                <c:pt idx="824">
                  <c:v>21840000</c:v>
                </c:pt>
                <c:pt idx="825">
                  <c:v>34580000</c:v>
                </c:pt>
                <c:pt idx="826">
                  <c:v>37220000</c:v>
                </c:pt>
                <c:pt idx="827">
                  <c:v>18700000</c:v>
                </c:pt>
                <c:pt idx="828">
                  <c:v>24750000</c:v>
                </c:pt>
                <c:pt idx="829">
                  <c:v>39010000</c:v>
                </c:pt>
                <c:pt idx="830">
                  <c:v>20910000</c:v>
                </c:pt>
                <c:pt idx="831">
                  <c:v>25890000</c:v>
                </c:pt>
                <c:pt idx="832">
                  <c:v>26430000</c:v>
                </c:pt>
                <c:pt idx="833">
                  <c:v>41570000</c:v>
                </c:pt>
                <c:pt idx="834">
                  <c:v>48960000</c:v>
                </c:pt>
                <c:pt idx="835">
                  <c:v>81090000</c:v>
                </c:pt>
                <c:pt idx="836">
                  <c:v>38930000</c:v>
                </c:pt>
                <c:pt idx="837">
                  <c:v>48580000</c:v>
                </c:pt>
                <c:pt idx="838">
                  <c:v>34550000</c:v>
                </c:pt>
                <c:pt idx="839">
                  <c:v>47700000</c:v>
                </c:pt>
                <c:pt idx="840">
                  <c:v>51970000</c:v>
                </c:pt>
                <c:pt idx="841">
                  <c:v>43940000</c:v>
                </c:pt>
                <c:pt idx="842">
                  <c:v>106870000</c:v>
                </c:pt>
                <c:pt idx="843">
                  <c:v>117180000</c:v>
                </c:pt>
                <c:pt idx="844">
                  <c:v>55280000</c:v>
                </c:pt>
                <c:pt idx="845">
                  <c:v>76180000</c:v>
                </c:pt>
                <c:pt idx="846">
                  <c:v>76540000</c:v>
                </c:pt>
                <c:pt idx="847">
                  <c:v>56220000</c:v>
                </c:pt>
                <c:pt idx="848">
                  <c:v>34330000</c:v>
                </c:pt>
                <c:pt idx="849">
                  <c:v>30850000</c:v>
                </c:pt>
                <c:pt idx="850">
                  <c:v>24390000</c:v>
                </c:pt>
                <c:pt idx="851">
                  <c:v>29830000</c:v>
                </c:pt>
                <c:pt idx="852">
                  <c:v>19900000</c:v>
                </c:pt>
                <c:pt idx="853">
                  <c:v>34110000</c:v>
                </c:pt>
                <c:pt idx="854">
                  <c:v>30960000</c:v>
                </c:pt>
                <c:pt idx="855">
                  <c:v>35540000</c:v>
                </c:pt>
                <c:pt idx="856">
                  <c:v>31160000</c:v>
                </c:pt>
                <c:pt idx="857">
                  <c:v>56190000</c:v>
                </c:pt>
                <c:pt idx="858">
                  <c:v>60810000</c:v>
                </c:pt>
                <c:pt idx="859">
                  <c:v>64709999.999999993</c:v>
                </c:pt>
                <c:pt idx="860">
                  <c:v>66519999.999999993</c:v>
                </c:pt>
                <c:pt idx="861">
                  <c:v>110950000</c:v>
                </c:pt>
                <c:pt idx="862">
                  <c:v>49550000</c:v>
                </c:pt>
                <c:pt idx="863">
                  <c:v>46980000</c:v>
                </c:pt>
                <c:pt idx="864">
                  <c:v>38770000</c:v>
                </c:pt>
                <c:pt idx="865">
                  <c:v>72920000</c:v>
                </c:pt>
                <c:pt idx="866">
                  <c:v>43990000</c:v>
                </c:pt>
                <c:pt idx="867">
                  <c:v>46550000</c:v>
                </c:pt>
                <c:pt idx="868">
                  <c:v>58770000</c:v>
                </c:pt>
                <c:pt idx="869">
                  <c:v>46520000</c:v>
                </c:pt>
                <c:pt idx="870">
                  <c:v>27710000</c:v>
                </c:pt>
                <c:pt idx="871">
                  <c:v>28600000</c:v>
                </c:pt>
                <c:pt idx="872">
                  <c:v>37780000</c:v>
                </c:pt>
                <c:pt idx="873">
                  <c:v>53560000</c:v>
                </c:pt>
                <c:pt idx="874">
                  <c:v>64750000</c:v>
                </c:pt>
                <c:pt idx="875">
                  <c:v>27880000</c:v>
                </c:pt>
                <c:pt idx="876">
                  <c:v>44360000</c:v>
                </c:pt>
                <c:pt idx="877">
                  <c:v>68880000</c:v>
                </c:pt>
                <c:pt idx="878">
                  <c:v>33740000</c:v>
                </c:pt>
                <c:pt idx="879">
                  <c:v>49320000</c:v>
                </c:pt>
                <c:pt idx="880">
                  <c:v>56750000</c:v>
                </c:pt>
                <c:pt idx="881">
                  <c:v>37760000</c:v>
                </c:pt>
                <c:pt idx="882">
                  <c:v>58550000</c:v>
                </c:pt>
                <c:pt idx="883">
                  <c:v>58810000</c:v>
                </c:pt>
                <c:pt idx="884">
                  <c:v>55630000</c:v>
                </c:pt>
                <c:pt idx="885">
                  <c:v>74420000</c:v>
                </c:pt>
                <c:pt idx="886">
                  <c:v>143440000</c:v>
                </c:pt>
                <c:pt idx="887">
                  <c:v>56050000</c:v>
                </c:pt>
                <c:pt idx="888">
                  <c:v>51750000</c:v>
                </c:pt>
                <c:pt idx="889">
                  <c:v>50660000</c:v>
                </c:pt>
                <c:pt idx="890">
                  <c:v>76030000</c:v>
                </c:pt>
                <c:pt idx="891">
                  <c:v>34000000</c:v>
                </c:pt>
                <c:pt idx="892">
                  <c:v>46760000</c:v>
                </c:pt>
                <c:pt idx="893">
                  <c:v>39640000</c:v>
                </c:pt>
                <c:pt idx="894">
                  <c:v>32299999.999999996</c:v>
                </c:pt>
                <c:pt idx="895">
                  <c:v>34840000</c:v>
                </c:pt>
                <c:pt idx="896">
                  <c:v>17300000</c:v>
                </c:pt>
                <c:pt idx="897">
                  <c:v>34740000</c:v>
                </c:pt>
                <c:pt idx="898">
                  <c:v>34360000</c:v>
                </c:pt>
                <c:pt idx="899">
                  <c:v>38610000</c:v>
                </c:pt>
                <c:pt idx="900">
                  <c:v>32259999.999999996</c:v>
                </c:pt>
                <c:pt idx="901">
                  <c:v>37080000</c:v>
                </c:pt>
                <c:pt idx="902">
                  <c:v>35670000</c:v>
                </c:pt>
                <c:pt idx="903">
                  <c:v>32420000</c:v>
                </c:pt>
                <c:pt idx="904">
                  <c:v>39490000</c:v>
                </c:pt>
                <c:pt idx="905">
                  <c:v>50580000</c:v>
                </c:pt>
                <c:pt idx="906">
                  <c:v>96440000</c:v>
                </c:pt>
                <c:pt idx="907">
                  <c:v>70540000</c:v>
                </c:pt>
                <c:pt idx="908">
                  <c:v>91700000</c:v>
                </c:pt>
                <c:pt idx="909">
                  <c:v>61140000</c:v>
                </c:pt>
                <c:pt idx="910">
                  <c:v>40660000</c:v>
                </c:pt>
                <c:pt idx="911">
                  <c:v>33520000.000000004</c:v>
                </c:pt>
                <c:pt idx="912">
                  <c:v>27360000</c:v>
                </c:pt>
                <c:pt idx="913">
                  <c:v>23740000</c:v>
                </c:pt>
                <c:pt idx="914">
                  <c:v>22810000</c:v>
                </c:pt>
                <c:pt idx="915">
                  <c:v>27850000</c:v>
                </c:pt>
                <c:pt idx="916">
                  <c:v>58400000</c:v>
                </c:pt>
                <c:pt idx="917">
                  <c:v>28990000</c:v>
                </c:pt>
                <c:pt idx="918">
                  <c:v>32890000</c:v>
                </c:pt>
                <c:pt idx="919">
                  <c:v>40400000</c:v>
                </c:pt>
                <c:pt idx="920">
                  <c:v>35010000</c:v>
                </c:pt>
                <c:pt idx="921">
                  <c:v>55470000</c:v>
                </c:pt>
                <c:pt idx="922">
                  <c:v>77930000</c:v>
                </c:pt>
                <c:pt idx="923">
                  <c:v>27860000</c:v>
                </c:pt>
                <c:pt idx="924">
                  <c:v>38300000</c:v>
                </c:pt>
                <c:pt idx="925">
                  <c:v>74430000</c:v>
                </c:pt>
                <c:pt idx="926">
                  <c:v>70300000</c:v>
                </c:pt>
                <c:pt idx="927">
                  <c:v>39110000</c:v>
                </c:pt>
                <c:pt idx="928">
                  <c:v>42340000</c:v>
                </c:pt>
                <c:pt idx="929">
                  <c:v>69030000</c:v>
                </c:pt>
                <c:pt idx="930">
                  <c:v>38720000</c:v>
                </c:pt>
                <c:pt idx="931">
                  <c:v>51010000</c:v>
                </c:pt>
                <c:pt idx="932">
                  <c:v>74350000</c:v>
                </c:pt>
                <c:pt idx="933">
                  <c:v>37160000</c:v>
                </c:pt>
                <c:pt idx="934">
                  <c:v>7480000</c:v>
                </c:pt>
                <c:pt idx="935">
                  <c:v>30970000</c:v>
                </c:pt>
                <c:pt idx="936">
                  <c:v>38090000</c:v>
                </c:pt>
                <c:pt idx="937">
                  <c:v>38760000</c:v>
                </c:pt>
                <c:pt idx="938">
                  <c:v>30720000</c:v>
                </c:pt>
                <c:pt idx="939">
                  <c:v>37570000</c:v>
                </c:pt>
                <c:pt idx="940">
                  <c:v>32460000</c:v>
                </c:pt>
                <c:pt idx="941">
                  <c:v>34670000</c:v>
                </c:pt>
                <c:pt idx="942">
                  <c:v>41360000</c:v>
                </c:pt>
                <c:pt idx="943">
                  <c:v>41080000</c:v>
                </c:pt>
                <c:pt idx="944">
                  <c:v>36640000</c:v>
                </c:pt>
                <c:pt idx="945">
                  <c:v>36080000</c:v>
                </c:pt>
                <c:pt idx="946">
                  <c:v>48170000</c:v>
                </c:pt>
                <c:pt idx="947">
                  <c:v>40190000</c:v>
                </c:pt>
                <c:pt idx="948">
                  <c:v>37280000</c:v>
                </c:pt>
                <c:pt idx="949">
                  <c:v>66440000</c:v>
                </c:pt>
                <c:pt idx="950">
                  <c:v>60880000</c:v>
                </c:pt>
                <c:pt idx="951">
                  <c:v>71720000</c:v>
                </c:pt>
                <c:pt idx="952">
                  <c:v>104950000</c:v>
                </c:pt>
                <c:pt idx="953">
                  <c:v>101290000</c:v>
                </c:pt>
                <c:pt idx="954">
                  <c:v>109770000</c:v>
                </c:pt>
                <c:pt idx="955">
                  <c:v>61380000</c:v>
                </c:pt>
                <c:pt idx="956">
                  <c:v>46140000</c:v>
                </c:pt>
                <c:pt idx="957">
                  <c:v>52140000</c:v>
                </c:pt>
                <c:pt idx="958">
                  <c:v>51150000</c:v>
                </c:pt>
                <c:pt idx="959">
                  <c:v>107970000</c:v>
                </c:pt>
                <c:pt idx="960">
                  <c:v>62930000</c:v>
                </c:pt>
                <c:pt idx="961">
                  <c:v>86380000</c:v>
                </c:pt>
                <c:pt idx="962">
                  <c:v>44180000</c:v>
                </c:pt>
                <c:pt idx="963">
                  <c:v>40840000</c:v>
                </c:pt>
                <c:pt idx="964">
                  <c:v>63650000</c:v>
                </c:pt>
                <c:pt idx="965">
                  <c:v>71230000</c:v>
                </c:pt>
                <c:pt idx="966">
                  <c:v>43950000</c:v>
                </c:pt>
                <c:pt idx="967">
                  <c:v>59510000</c:v>
                </c:pt>
                <c:pt idx="968">
                  <c:v>40350000</c:v>
                </c:pt>
                <c:pt idx="969">
                  <c:v>45600000</c:v>
                </c:pt>
                <c:pt idx="970">
                  <c:v>52450000</c:v>
                </c:pt>
                <c:pt idx="971">
                  <c:v>67400000</c:v>
                </c:pt>
                <c:pt idx="972">
                  <c:v>59900000</c:v>
                </c:pt>
                <c:pt idx="973">
                  <c:v>71260000</c:v>
                </c:pt>
                <c:pt idx="974">
                  <c:v>42190000</c:v>
                </c:pt>
                <c:pt idx="975">
                  <c:v>55690000</c:v>
                </c:pt>
                <c:pt idx="976">
                  <c:v>70530000</c:v>
                </c:pt>
                <c:pt idx="977">
                  <c:v>74040000</c:v>
                </c:pt>
                <c:pt idx="978">
                  <c:v>57130000</c:v>
                </c:pt>
                <c:pt idx="979">
                  <c:v>49400000</c:v>
                </c:pt>
                <c:pt idx="980">
                  <c:v>54010000</c:v>
                </c:pt>
                <c:pt idx="981">
                  <c:v>69210000</c:v>
                </c:pt>
                <c:pt idx="982">
                  <c:v>95940000</c:v>
                </c:pt>
                <c:pt idx="983">
                  <c:v>75320000</c:v>
                </c:pt>
                <c:pt idx="984">
                  <c:v>73880000</c:v>
                </c:pt>
                <c:pt idx="985">
                  <c:v>41380000</c:v>
                </c:pt>
                <c:pt idx="986">
                  <c:v>54470000</c:v>
                </c:pt>
                <c:pt idx="987">
                  <c:v>79530000</c:v>
                </c:pt>
                <c:pt idx="988">
                  <c:v>61430000</c:v>
                </c:pt>
                <c:pt idx="989">
                  <c:v>64940000</c:v>
                </c:pt>
              </c:numCache>
            </c:numRef>
          </c:val>
          <c:smooth val="0"/>
          <c:extLst>
            <c:ext xmlns:c16="http://schemas.microsoft.com/office/drawing/2014/chart" uri="{C3380CC4-5D6E-409C-BE32-E72D297353CC}">
              <c16:uniqueId val="{00000000-6BD2-440C-AE2A-ABE28BF7DCB4}"/>
            </c:ext>
          </c:extLst>
        </c:ser>
        <c:dLbls>
          <c:showLegendKey val="0"/>
          <c:showVal val="0"/>
          <c:showCatName val="0"/>
          <c:showSerName val="0"/>
          <c:showPercent val="0"/>
          <c:showBubbleSize val="0"/>
        </c:dLbls>
        <c:smooth val="0"/>
        <c:axId val="15049024"/>
        <c:axId val="151398352"/>
      </c:lineChart>
      <c:dateAx>
        <c:axId val="15049024"/>
        <c:scaling>
          <c:orientation val="minMax"/>
        </c:scaling>
        <c:delete val="1"/>
        <c:axPos val="b"/>
        <c:numFmt formatCode="m/d/yyyy" sourceLinked="1"/>
        <c:majorTickMark val="out"/>
        <c:minorTickMark val="none"/>
        <c:tickLblPos val="nextTo"/>
        <c:crossAx val="151398352"/>
        <c:crosses val="autoZero"/>
        <c:auto val="1"/>
        <c:lblOffset val="100"/>
        <c:baseTimeUnit val="days"/>
      </c:dateAx>
      <c:valAx>
        <c:axId val="151398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2</xdr:col>
      <xdr:colOff>83820</xdr:colOff>
      <xdr:row>2</xdr:row>
      <xdr:rowOff>106680</xdr:rowOff>
    </xdr:from>
    <xdr:to>
      <xdr:col>5</xdr:col>
      <xdr:colOff>27390</xdr:colOff>
      <xdr:row>7</xdr:row>
      <xdr:rowOff>171591</xdr:rowOff>
    </xdr:to>
    <xdr:pic>
      <xdr:nvPicPr>
        <xdr:cNvPr id="3" name="Picture 2" descr="TATA STEEL Logo Download png">
          <a:extLst>
            <a:ext uri="{FF2B5EF4-FFF2-40B4-BE49-F238E27FC236}">
              <a16:creationId xmlns:a16="http://schemas.microsoft.com/office/drawing/2014/main" id="{17082B4B-D159-52E6-36F9-7B214EDF4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8740" y="464820"/>
          <a:ext cx="177237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30480</xdr:colOff>
      <xdr:row>23</xdr:row>
      <xdr:rowOff>41910</xdr:rowOff>
    </xdr:from>
    <xdr:to>
      <xdr:col>13</xdr:col>
      <xdr:colOff>541020</xdr:colOff>
      <xdr:row>32</xdr:row>
      <xdr:rowOff>7620</xdr:rowOff>
    </xdr:to>
    <xdr:graphicFrame macro="">
      <xdr:nvGraphicFramePr>
        <xdr:cNvPr id="5" name="Chart 4">
          <a:extLst>
            <a:ext uri="{FF2B5EF4-FFF2-40B4-BE49-F238E27FC236}">
              <a16:creationId xmlns:a16="http://schemas.microsoft.com/office/drawing/2014/main" id="{82924ECF-B145-08E1-A0F1-E28BDF366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106680</xdr:colOff>
      <xdr:row>4</xdr:row>
      <xdr:rowOff>99060</xdr:rowOff>
    </xdr:from>
    <xdr:to>
      <xdr:col>14</xdr:col>
      <xdr:colOff>7620</xdr:colOff>
      <xdr:row>13</xdr:row>
      <xdr:rowOff>53340</xdr:rowOff>
    </xdr:to>
    <xdr:graphicFrame macro="">
      <xdr:nvGraphicFramePr>
        <xdr:cNvPr id="6" name="Chart 5">
          <a:extLst>
            <a:ext uri="{FF2B5EF4-FFF2-40B4-BE49-F238E27FC236}">
              <a16:creationId xmlns:a16="http://schemas.microsoft.com/office/drawing/2014/main" id="{8954E77D-3FD3-46E1-A8D4-90F03FD9D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99060</xdr:colOff>
      <xdr:row>13</xdr:row>
      <xdr:rowOff>114300</xdr:rowOff>
    </xdr:from>
    <xdr:to>
      <xdr:col>14</xdr:col>
      <xdr:colOff>60960</xdr:colOff>
      <xdr:row>21</xdr:row>
      <xdr:rowOff>114300</xdr:rowOff>
    </xdr:to>
    <xdr:graphicFrame macro="">
      <xdr:nvGraphicFramePr>
        <xdr:cNvPr id="7" name="Chart 6">
          <a:extLst>
            <a:ext uri="{FF2B5EF4-FFF2-40B4-BE49-F238E27FC236}">
              <a16:creationId xmlns:a16="http://schemas.microsoft.com/office/drawing/2014/main" id="{C618C6A2-9611-4BEF-AAF6-9E7ECFA14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92764</xdr:colOff>
      <xdr:row>0</xdr:row>
      <xdr:rowOff>138546</xdr:rowOff>
    </xdr:from>
    <xdr:to>
      <xdr:col>22</xdr:col>
      <xdr:colOff>574964</xdr:colOff>
      <xdr:row>14</xdr:row>
      <xdr:rowOff>152400</xdr:rowOff>
    </xdr:to>
    <xdr:graphicFrame macro="">
      <xdr:nvGraphicFramePr>
        <xdr:cNvPr id="2" name="Chart 1">
          <a:extLst>
            <a:ext uri="{FF2B5EF4-FFF2-40B4-BE49-F238E27FC236}">
              <a16:creationId xmlns:a16="http://schemas.microsoft.com/office/drawing/2014/main" id="{B45C6F5E-F4AD-F2A8-1B03-0AB35EDBD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453364</xdr:colOff>
      <xdr:row>16</xdr:row>
      <xdr:rowOff>45339</xdr:rowOff>
    </xdr:from>
    <xdr:to>
      <xdr:col>23</xdr:col>
      <xdr:colOff>120316</xdr:colOff>
      <xdr:row>30</xdr:row>
      <xdr:rowOff>66721</xdr:rowOff>
    </xdr:to>
    <xdr:graphicFrame macro="">
      <xdr:nvGraphicFramePr>
        <xdr:cNvPr id="3" name="Chart 2">
          <a:extLst>
            <a:ext uri="{FF2B5EF4-FFF2-40B4-BE49-F238E27FC236}">
              <a16:creationId xmlns:a16="http://schemas.microsoft.com/office/drawing/2014/main" id="{BBB6DB9C-1900-47AE-9EC1-9BDBDD7C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404515</xdr:colOff>
      <xdr:row>32</xdr:row>
      <xdr:rowOff>90053</xdr:rowOff>
    </xdr:from>
    <xdr:to>
      <xdr:col>21</xdr:col>
      <xdr:colOff>311727</xdr:colOff>
      <xdr:row>49</xdr:row>
      <xdr:rowOff>117764</xdr:rowOff>
    </xdr:to>
    <xdr:graphicFrame macro="">
      <xdr:nvGraphicFramePr>
        <xdr:cNvPr id="4" name="Chart 3">
          <a:extLst>
            <a:ext uri="{FF2B5EF4-FFF2-40B4-BE49-F238E27FC236}">
              <a16:creationId xmlns:a16="http://schemas.microsoft.com/office/drawing/2014/main" id="{9A5AB068-68E8-48E8-B390-B5F86FBE5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124690</xdr:colOff>
      <xdr:row>51</xdr:row>
      <xdr:rowOff>69273</xdr:rowOff>
    </xdr:from>
    <xdr:to>
      <xdr:col>21</xdr:col>
      <xdr:colOff>284017</xdr:colOff>
      <xdr:row>60</xdr:row>
      <xdr:rowOff>41562</xdr:rowOff>
    </xdr:to>
    <xdr:graphicFrame macro="">
      <xdr:nvGraphicFramePr>
        <xdr:cNvPr id="5" name="Chart 4">
          <a:extLst>
            <a:ext uri="{FF2B5EF4-FFF2-40B4-BE49-F238E27FC236}">
              <a16:creationId xmlns:a16="http://schemas.microsoft.com/office/drawing/2014/main" id="{F195CBD4-E3A1-44D2-9C27-2A3FEC65A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65314</xdr:rowOff>
    </xdr:from>
    <xdr:to>
      <xdr:col>2</xdr:col>
      <xdr:colOff>152400</xdr:colOff>
      <xdr:row>14</xdr:row>
      <xdr:rowOff>99060</xdr:rowOff>
    </xdr:to>
    <xdr:grpSp>
      <xdr:nvGrpSpPr>
        <xdr:cNvPr id="2" name="Group 1">
          <a:extLst>
            <a:ext uri="{FF2B5EF4-FFF2-40B4-BE49-F238E27FC236}">
              <a16:creationId xmlns:a16="http://schemas.microsoft.com/office/drawing/2014/main" id="{82845A41-565D-434B-A842-C3602C04870A}"/>
            </a:ext>
          </a:extLst>
        </xdr:cNvPr>
        <xdr:cNvGrpSpPr/>
      </xdr:nvGrpSpPr>
      <xdr:grpSpPr>
        <a:xfrm>
          <a:off x="133048" y="676124"/>
          <a:ext cx="2075542" cy="1848031"/>
          <a:chOff x="130629" y="1469571"/>
          <a:chExt cx="2566878" cy="1866338"/>
        </a:xfrm>
      </xdr:grpSpPr>
      <xdr:graphicFrame macro="">
        <xdr:nvGraphicFramePr>
          <xdr:cNvPr id="3" name="Chart 2">
            <a:extLst>
              <a:ext uri="{FF2B5EF4-FFF2-40B4-BE49-F238E27FC236}">
                <a16:creationId xmlns:a16="http://schemas.microsoft.com/office/drawing/2014/main" id="{5CA482B2-F5E6-6F97-124E-19A5B90F353D}"/>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2FC26CD4-17AD-783B-6226-F13D244DD2A0}"/>
              </a:ext>
            </a:extLst>
          </xdr:cNvPr>
          <xdr:cNvSpPr txBox="1"/>
        </xdr:nvSpPr>
        <xdr:spPr>
          <a:xfrm>
            <a:off x="436061" y="1564058"/>
            <a:ext cx="1812529" cy="232087"/>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Working</a:t>
            </a:r>
            <a:r>
              <a:rPr lang="en-IN" sz="1000" b="1" baseline="0">
                <a:solidFill>
                  <a:srgbClr val="0070C0"/>
                </a:solidFill>
              </a:rPr>
              <a:t>Capital/Total Assets</a:t>
            </a:r>
            <a:endParaRPr lang="en-IN" sz="1000" b="1">
              <a:solidFill>
                <a:srgbClr val="0070C0"/>
              </a:solidFill>
            </a:endParaRPr>
          </a:p>
          <a:p>
            <a:pPr algn="ctr"/>
            <a:endParaRPr lang="en-IN" sz="1000" b="1">
              <a:solidFill>
                <a:srgbClr val="0070C0"/>
              </a:solidFill>
            </a:endParaRPr>
          </a:p>
        </xdr:txBody>
      </xdr:sp>
      <xdr:cxnSp macro="">
        <xdr:nvCxnSpPr>
          <xdr:cNvPr id="5" name="Straight Connector 4">
            <a:extLst>
              <a:ext uri="{FF2B5EF4-FFF2-40B4-BE49-F238E27FC236}">
                <a16:creationId xmlns:a16="http://schemas.microsoft.com/office/drawing/2014/main" id="{823263B3-0E6A-2B75-BF57-4D756CE53942}"/>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487680</xdr:colOff>
      <xdr:row>4</xdr:row>
      <xdr:rowOff>55189</xdr:rowOff>
    </xdr:from>
    <xdr:to>
      <xdr:col>5</xdr:col>
      <xdr:colOff>441960</xdr:colOff>
      <xdr:row>14</xdr:row>
      <xdr:rowOff>70955</xdr:rowOff>
    </xdr:to>
    <xdr:grpSp>
      <xdr:nvGrpSpPr>
        <xdr:cNvPr id="6" name="Group 5">
          <a:extLst>
            <a:ext uri="{FF2B5EF4-FFF2-40B4-BE49-F238E27FC236}">
              <a16:creationId xmlns:a16="http://schemas.microsoft.com/office/drawing/2014/main" id="{0AD73707-2124-4572-90D6-1348FE48F14E}"/>
            </a:ext>
          </a:extLst>
        </xdr:cNvPr>
        <xdr:cNvGrpSpPr/>
      </xdr:nvGrpSpPr>
      <xdr:grpSpPr>
        <a:xfrm>
          <a:off x="2543870" y="665999"/>
          <a:ext cx="2107233" cy="1830051"/>
          <a:chOff x="130629" y="1469571"/>
          <a:chExt cx="2566878" cy="1866338"/>
        </a:xfrm>
      </xdr:grpSpPr>
      <xdr:graphicFrame macro="">
        <xdr:nvGraphicFramePr>
          <xdr:cNvPr id="7" name="Chart 6">
            <a:extLst>
              <a:ext uri="{FF2B5EF4-FFF2-40B4-BE49-F238E27FC236}">
                <a16:creationId xmlns:a16="http://schemas.microsoft.com/office/drawing/2014/main" id="{9D48C934-56C3-0DBF-9519-46B06F643997}"/>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D5425FAE-23CB-25D5-2BA2-654D8F1DE74B}"/>
              </a:ext>
            </a:extLst>
          </xdr:cNvPr>
          <xdr:cNvSpPr txBox="1"/>
        </xdr:nvSpPr>
        <xdr:spPr>
          <a:xfrm>
            <a:off x="458079" y="1574506"/>
            <a:ext cx="1934070" cy="23320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Retained</a:t>
            </a:r>
            <a:r>
              <a:rPr lang="en-IN" sz="1000" b="1" baseline="0">
                <a:solidFill>
                  <a:srgbClr val="0070C0"/>
                </a:solidFill>
              </a:rPr>
              <a:t> Earnings/Total Assets</a:t>
            </a:r>
            <a:endParaRPr lang="en-IN" sz="1000" b="1">
              <a:solidFill>
                <a:srgbClr val="0070C0"/>
              </a:solidFill>
            </a:endParaRPr>
          </a:p>
          <a:p>
            <a:pPr algn="ctr"/>
            <a:endParaRPr lang="en-IN" sz="1000" b="1">
              <a:solidFill>
                <a:srgbClr val="92D050"/>
              </a:solidFill>
            </a:endParaRPr>
          </a:p>
        </xdr:txBody>
      </xdr:sp>
      <xdr:cxnSp macro="">
        <xdr:nvCxnSpPr>
          <xdr:cNvPr id="9" name="Straight Connector 8">
            <a:extLst>
              <a:ext uri="{FF2B5EF4-FFF2-40B4-BE49-F238E27FC236}">
                <a16:creationId xmlns:a16="http://schemas.microsoft.com/office/drawing/2014/main" id="{D210CE6B-7D0C-48AF-C8C2-40DB769F0263}"/>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678180</xdr:colOff>
      <xdr:row>4</xdr:row>
      <xdr:rowOff>54775</xdr:rowOff>
    </xdr:from>
    <xdr:to>
      <xdr:col>8</xdr:col>
      <xdr:colOff>57385</xdr:colOff>
      <xdr:row>13</xdr:row>
      <xdr:rowOff>38100</xdr:rowOff>
    </xdr:to>
    <xdr:grpSp>
      <xdr:nvGrpSpPr>
        <xdr:cNvPr id="10" name="Group 9">
          <a:extLst>
            <a:ext uri="{FF2B5EF4-FFF2-40B4-BE49-F238E27FC236}">
              <a16:creationId xmlns:a16="http://schemas.microsoft.com/office/drawing/2014/main" id="{3CE5E26E-A8E8-4FC3-B273-D78868A22FCA}"/>
            </a:ext>
          </a:extLst>
        </xdr:cNvPr>
        <xdr:cNvGrpSpPr/>
      </xdr:nvGrpSpPr>
      <xdr:grpSpPr>
        <a:xfrm>
          <a:off x="4887323" y="665585"/>
          <a:ext cx="2173205" cy="1616182"/>
          <a:chOff x="130629" y="1469571"/>
          <a:chExt cx="2566878" cy="1866338"/>
        </a:xfrm>
      </xdr:grpSpPr>
      <xdr:graphicFrame macro="">
        <xdr:nvGraphicFramePr>
          <xdr:cNvPr id="11" name="Chart 10">
            <a:extLst>
              <a:ext uri="{FF2B5EF4-FFF2-40B4-BE49-F238E27FC236}">
                <a16:creationId xmlns:a16="http://schemas.microsoft.com/office/drawing/2014/main" id="{9260EE90-3AEF-B4E5-DC02-89BFF618A61B}"/>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19327931-728C-58D7-C4B5-B1163315009C}"/>
              </a:ext>
            </a:extLst>
          </xdr:cNvPr>
          <xdr:cNvSpPr txBox="1"/>
        </xdr:nvSpPr>
        <xdr:spPr>
          <a:xfrm>
            <a:off x="597211" y="1567543"/>
            <a:ext cx="1743991" cy="21818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EBIT/Total</a:t>
            </a:r>
            <a:r>
              <a:rPr lang="en-IN" sz="1000" b="1" baseline="0">
                <a:solidFill>
                  <a:srgbClr val="0070C0"/>
                </a:solidFill>
              </a:rPr>
              <a:t> Assets</a:t>
            </a:r>
            <a:endParaRPr lang="en-IN" sz="1000" b="1">
              <a:solidFill>
                <a:srgbClr val="0070C0"/>
              </a:solidFill>
            </a:endParaRPr>
          </a:p>
          <a:p>
            <a:pPr algn="ctr"/>
            <a:endParaRPr lang="en-IN" sz="1000" b="1">
              <a:solidFill>
                <a:srgbClr val="92D050"/>
              </a:solidFill>
            </a:endParaRPr>
          </a:p>
        </xdr:txBody>
      </xdr:sp>
      <xdr:cxnSp macro="">
        <xdr:nvCxnSpPr>
          <xdr:cNvPr id="13" name="Straight Connector 12">
            <a:extLst>
              <a:ext uri="{FF2B5EF4-FFF2-40B4-BE49-F238E27FC236}">
                <a16:creationId xmlns:a16="http://schemas.microsoft.com/office/drawing/2014/main" id="{9E67A2BD-DDA4-1508-9E25-18261F235EEC}"/>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891540</xdr:colOff>
      <xdr:row>16</xdr:row>
      <xdr:rowOff>102750</xdr:rowOff>
    </xdr:from>
    <xdr:to>
      <xdr:col>4</xdr:col>
      <xdr:colOff>0</xdr:colOff>
      <xdr:row>26</xdr:row>
      <xdr:rowOff>118517</xdr:rowOff>
    </xdr:to>
    <xdr:grpSp>
      <xdr:nvGrpSpPr>
        <xdr:cNvPr id="14" name="Group 13">
          <a:extLst>
            <a:ext uri="{FF2B5EF4-FFF2-40B4-BE49-F238E27FC236}">
              <a16:creationId xmlns:a16="http://schemas.microsoft.com/office/drawing/2014/main" id="{291C2C25-BD63-4116-A336-5F2107837126}"/>
            </a:ext>
          </a:extLst>
        </xdr:cNvPr>
        <xdr:cNvGrpSpPr/>
      </xdr:nvGrpSpPr>
      <xdr:grpSpPr>
        <a:xfrm>
          <a:off x="1024588" y="2890702"/>
          <a:ext cx="2253222" cy="1830053"/>
          <a:chOff x="130629" y="1469571"/>
          <a:chExt cx="2566878" cy="1866338"/>
        </a:xfrm>
      </xdr:grpSpPr>
      <xdr:graphicFrame macro="">
        <xdr:nvGraphicFramePr>
          <xdr:cNvPr id="15" name="Chart 14">
            <a:extLst>
              <a:ext uri="{FF2B5EF4-FFF2-40B4-BE49-F238E27FC236}">
                <a16:creationId xmlns:a16="http://schemas.microsoft.com/office/drawing/2014/main" id="{C56D6DEC-0D8E-CDD8-1445-DFC831D4EF4E}"/>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D8DD4D3E-0EE8-1ED3-7BDB-18CB2CA10DB3}"/>
              </a:ext>
            </a:extLst>
          </xdr:cNvPr>
          <xdr:cNvSpPr txBox="1"/>
        </xdr:nvSpPr>
        <xdr:spPr>
          <a:xfrm>
            <a:off x="314324" y="1570826"/>
            <a:ext cx="2149070" cy="216063"/>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Market</a:t>
            </a:r>
            <a:r>
              <a:rPr lang="en-IN" sz="1000" b="1" baseline="0">
                <a:solidFill>
                  <a:srgbClr val="0070C0"/>
                </a:solidFill>
              </a:rPr>
              <a:t> Cap/Long Term Liabillites</a:t>
            </a:r>
            <a:endParaRPr lang="en-IN" sz="1000" b="1">
              <a:solidFill>
                <a:srgbClr val="0070C0"/>
              </a:solidFill>
            </a:endParaRPr>
          </a:p>
        </xdr:txBody>
      </xdr:sp>
      <xdr:cxnSp macro="">
        <xdr:nvCxnSpPr>
          <xdr:cNvPr id="17" name="Straight Connector 16">
            <a:extLst>
              <a:ext uri="{FF2B5EF4-FFF2-40B4-BE49-F238E27FC236}">
                <a16:creationId xmlns:a16="http://schemas.microsoft.com/office/drawing/2014/main" id="{A3CB7512-9B3D-1FBD-4E68-B4E9C74040CF}"/>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381000</xdr:colOff>
      <xdr:row>16</xdr:row>
      <xdr:rowOff>79339</xdr:rowOff>
    </xdr:from>
    <xdr:to>
      <xdr:col>7</xdr:col>
      <xdr:colOff>95556</xdr:colOff>
      <xdr:row>26</xdr:row>
      <xdr:rowOff>95106</xdr:rowOff>
    </xdr:to>
    <xdr:grpSp>
      <xdr:nvGrpSpPr>
        <xdr:cNvPr id="18" name="Group 17">
          <a:extLst>
            <a:ext uri="{FF2B5EF4-FFF2-40B4-BE49-F238E27FC236}">
              <a16:creationId xmlns:a16="http://schemas.microsoft.com/office/drawing/2014/main" id="{BC794B50-25D2-4CC8-B16B-D51D4DB013D1}"/>
            </a:ext>
          </a:extLst>
        </xdr:cNvPr>
        <xdr:cNvGrpSpPr/>
      </xdr:nvGrpSpPr>
      <xdr:grpSpPr>
        <a:xfrm>
          <a:off x="3658810" y="2867291"/>
          <a:ext cx="2508556" cy="1830053"/>
          <a:chOff x="130629" y="1469571"/>
          <a:chExt cx="2566878" cy="1866338"/>
        </a:xfrm>
      </xdr:grpSpPr>
      <xdr:graphicFrame macro="">
        <xdr:nvGraphicFramePr>
          <xdr:cNvPr id="19" name="Chart 18">
            <a:extLst>
              <a:ext uri="{FF2B5EF4-FFF2-40B4-BE49-F238E27FC236}">
                <a16:creationId xmlns:a16="http://schemas.microsoft.com/office/drawing/2014/main" id="{E07EA722-3679-EEFC-73C7-4A33AB74DA09}"/>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22FCC137-3862-00FC-1B05-F75806F7AB9D}"/>
              </a:ext>
            </a:extLst>
          </xdr:cNvPr>
          <xdr:cNvSpPr txBox="1"/>
        </xdr:nvSpPr>
        <xdr:spPr>
          <a:xfrm>
            <a:off x="597211" y="1567543"/>
            <a:ext cx="1547273" cy="2286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Sales/Total</a:t>
            </a:r>
            <a:r>
              <a:rPr lang="en-IN" sz="1000" b="1" baseline="0">
                <a:solidFill>
                  <a:srgbClr val="0070C0"/>
                </a:solidFill>
              </a:rPr>
              <a:t> Assets</a:t>
            </a:r>
            <a:endParaRPr lang="en-IN" sz="1000" b="1">
              <a:solidFill>
                <a:srgbClr val="0070C0"/>
              </a:solidFill>
            </a:endParaRPr>
          </a:p>
        </xdr:txBody>
      </xdr:sp>
      <xdr:cxnSp macro="">
        <xdr:nvCxnSpPr>
          <xdr:cNvPr id="21" name="Straight Connector 20">
            <a:extLst>
              <a:ext uri="{FF2B5EF4-FFF2-40B4-BE49-F238E27FC236}">
                <a16:creationId xmlns:a16="http://schemas.microsoft.com/office/drawing/2014/main" id="{48154B1A-683D-55A5-A2B5-CB7F92B3605F}"/>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9</xdr:row>
      <xdr:rowOff>65314</xdr:rowOff>
    </xdr:from>
    <xdr:to>
      <xdr:col>1</xdr:col>
      <xdr:colOff>1878904</xdr:colOff>
      <xdr:row>19</xdr:row>
      <xdr:rowOff>81080</xdr:rowOff>
    </xdr:to>
    <xdr:grpSp>
      <xdr:nvGrpSpPr>
        <xdr:cNvPr id="2" name="Group 1">
          <a:extLst>
            <a:ext uri="{FF2B5EF4-FFF2-40B4-BE49-F238E27FC236}">
              <a16:creationId xmlns:a16="http://schemas.microsoft.com/office/drawing/2014/main" id="{D1758FE0-25F8-4F33-AC24-77F06CF22A92}"/>
            </a:ext>
          </a:extLst>
        </xdr:cNvPr>
        <xdr:cNvGrpSpPr/>
      </xdr:nvGrpSpPr>
      <xdr:grpSpPr>
        <a:xfrm>
          <a:off x="130479" y="1448396"/>
          <a:ext cx="1878904" cy="1842479"/>
          <a:chOff x="130629" y="1469571"/>
          <a:chExt cx="2566878" cy="1866338"/>
        </a:xfrm>
      </xdr:grpSpPr>
      <xdr:graphicFrame macro="">
        <xdr:nvGraphicFramePr>
          <xdr:cNvPr id="3" name="Chart 2">
            <a:extLst>
              <a:ext uri="{FF2B5EF4-FFF2-40B4-BE49-F238E27FC236}">
                <a16:creationId xmlns:a16="http://schemas.microsoft.com/office/drawing/2014/main" id="{FAFE3BDF-1594-AEE1-B71A-5CA198F416FE}"/>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3E7759FB-C10A-8A70-8DD3-E1900EB271C2}"/>
              </a:ext>
            </a:extLst>
          </xdr:cNvPr>
          <xdr:cNvSpPr txBox="1"/>
        </xdr:nvSpPr>
        <xdr:spPr>
          <a:xfrm>
            <a:off x="597211" y="1567543"/>
            <a:ext cx="1547273" cy="2286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Revenues (INR Crs)</a:t>
            </a:r>
          </a:p>
          <a:p>
            <a:pPr algn="ctr"/>
            <a:endParaRPr lang="en-IN" sz="1000" b="1">
              <a:solidFill>
                <a:srgbClr val="92D050"/>
              </a:solidFill>
            </a:endParaRPr>
          </a:p>
        </xdr:txBody>
      </xdr:sp>
      <xdr:cxnSp macro="">
        <xdr:nvCxnSpPr>
          <xdr:cNvPr id="5" name="Straight Connector 4">
            <a:extLst>
              <a:ext uri="{FF2B5EF4-FFF2-40B4-BE49-F238E27FC236}">
                <a16:creationId xmlns:a16="http://schemas.microsoft.com/office/drawing/2014/main" id="{648B0A88-8BB2-4A63-2FF6-67DEEE7A221B}"/>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219205</xdr:colOff>
      <xdr:row>9</xdr:row>
      <xdr:rowOff>55189</xdr:rowOff>
    </xdr:from>
    <xdr:to>
      <xdr:col>5</xdr:col>
      <xdr:colOff>334027</xdr:colOff>
      <xdr:row>19</xdr:row>
      <xdr:rowOff>70955</xdr:rowOff>
    </xdr:to>
    <xdr:grpSp>
      <xdr:nvGrpSpPr>
        <xdr:cNvPr id="6" name="Group 5">
          <a:extLst>
            <a:ext uri="{FF2B5EF4-FFF2-40B4-BE49-F238E27FC236}">
              <a16:creationId xmlns:a16="http://schemas.microsoft.com/office/drawing/2014/main" id="{2C8FED16-B37F-4781-B1C8-8F8D8ABC5715}"/>
            </a:ext>
          </a:extLst>
        </xdr:cNvPr>
        <xdr:cNvGrpSpPr/>
      </xdr:nvGrpSpPr>
      <xdr:grpSpPr>
        <a:xfrm>
          <a:off x="2272082" y="1438271"/>
          <a:ext cx="2176397" cy="1842479"/>
          <a:chOff x="130629" y="1469571"/>
          <a:chExt cx="2566878" cy="1866338"/>
        </a:xfrm>
      </xdr:grpSpPr>
      <xdr:graphicFrame macro="">
        <xdr:nvGraphicFramePr>
          <xdr:cNvPr id="7" name="Chart 6">
            <a:extLst>
              <a:ext uri="{FF2B5EF4-FFF2-40B4-BE49-F238E27FC236}">
                <a16:creationId xmlns:a16="http://schemas.microsoft.com/office/drawing/2014/main" id="{A01A809D-77C5-6BD3-B876-EA68522C4718}"/>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3EBCAEBE-87F3-5743-0052-ABF15E12E66A}"/>
              </a:ext>
            </a:extLst>
          </xdr:cNvPr>
          <xdr:cNvSpPr txBox="1"/>
        </xdr:nvSpPr>
        <xdr:spPr>
          <a:xfrm>
            <a:off x="597211" y="1567543"/>
            <a:ext cx="1547273" cy="2286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Net</a:t>
            </a:r>
            <a:r>
              <a:rPr lang="en-IN" sz="1000" b="1" baseline="0">
                <a:solidFill>
                  <a:srgbClr val="0070C0"/>
                </a:solidFill>
              </a:rPr>
              <a:t> Profit</a:t>
            </a:r>
            <a:r>
              <a:rPr lang="en-IN" sz="1000" b="1">
                <a:solidFill>
                  <a:srgbClr val="0070C0"/>
                </a:solidFill>
              </a:rPr>
              <a:t> (INR Crs)</a:t>
            </a:r>
          </a:p>
          <a:p>
            <a:pPr algn="ctr"/>
            <a:endParaRPr lang="en-IN" sz="1000" b="1">
              <a:solidFill>
                <a:srgbClr val="92D050"/>
              </a:solidFill>
            </a:endParaRPr>
          </a:p>
        </xdr:txBody>
      </xdr:sp>
      <xdr:cxnSp macro="">
        <xdr:nvCxnSpPr>
          <xdr:cNvPr id="9" name="Straight Connector 8">
            <a:extLst>
              <a:ext uri="{FF2B5EF4-FFF2-40B4-BE49-F238E27FC236}">
                <a16:creationId xmlns:a16="http://schemas.microsoft.com/office/drawing/2014/main" id="{319ACAAC-B119-81FD-D073-97F562584F64}"/>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427972</xdr:colOff>
      <xdr:row>9</xdr:row>
      <xdr:rowOff>47155</xdr:rowOff>
    </xdr:from>
    <xdr:to>
      <xdr:col>7</xdr:col>
      <xdr:colOff>606025</xdr:colOff>
      <xdr:row>19</xdr:row>
      <xdr:rowOff>62922</xdr:rowOff>
    </xdr:to>
    <xdr:grpSp>
      <xdr:nvGrpSpPr>
        <xdr:cNvPr id="10" name="Group 9">
          <a:extLst>
            <a:ext uri="{FF2B5EF4-FFF2-40B4-BE49-F238E27FC236}">
              <a16:creationId xmlns:a16="http://schemas.microsoft.com/office/drawing/2014/main" id="{DD0C5662-D005-424C-B5F5-193936F29468}"/>
            </a:ext>
          </a:extLst>
        </xdr:cNvPr>
        <xdr:cNvGrpSpPr/>
      </xdr:nvGrpSpPr>
      <xdr:grpSpPr>
        <a:xfrm>
          <a:off x="4542424" y="1430237"/>
          <a:ext cx="1865587" cy="1842480"/>
          <a:chOff x="130629" y="1469571"/>
          <a:chExt cx="2566878" cy="1866338"/>
        </a:xfrm>
      </xdr:grpSpPr>
      <xdr:graphicFrame macro="">
        <xdr:nvGraphicFramePr>
          <xdr:cNvPr id="11" name="Chart 10">
            <a:extLst>
              <a:ext uri="{FF2B5EF4-FFF2-40B4-BE49-F238E27FC236}">
                <a16:creationId xmlns:a16="http://schemas.microsoft.com/office/drawing/2014/main" id="{0C915740-8613-44D6-F476-9E49E7E31B27}"/>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32BC72FE-C0CC-D51B-72D2-050BBD2EDFC2}"/>
              </a:ext>
            </a:extLst>
          </xdr:cNvPr>
          <xdr:cNvSpPr txBox="1"/>
        </xdr:nvSpPr>
        <xdr:spPr>
          <a:xfrm>
            <a:off x="429604" y="1585169"/>
            <a:ext cx="1928485" cy="18119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Average Total</a:t>
            </a:r>
            <a:r>
              <a:rPr lang="en-IN" sz="1000" b="1" baseline="0">
                <a:solidFill>
                  <a:srgbClr val="0070C0"/>
                </a:solidFill>
              </a:rPr>
              <a:t> Assets </a:t>
            </a:r>
            <a:r>
              <a:rPr lang="en-IN" sz="1000" b="1">
                <a:solidFill>
                  <a:srgbClr val="0070C0"/>
                </a:solidFill>
              </a:rPr>
              <a:t> (INR Crs)</a:t>
            </a:r>
          </a:p>
          <a:p>
            <a:pPr algn="ctr"/>
            <a:endParaRPr lang="en-IN" sz="1000" b="1">
              <a:solidFill>
                <a:srgbClr val="92D050"/>
              </a:solidFill>
            </a:endParaRPr>
          </a:p>
        </xdr:txBody>
      </xdr:sp>
      <xdr:cxnSp macro="">
        <xdr:nvCxnSpPr>
          <xdr:cNvPr id="13" name="Straight Connector 12">
            <a:extLst>
              <a:ext uri="{FF2B5EF4-FFF2-40B4-BE49-F238E27FC236}">
                <a16:creationId xmlns:a16="http://schemas.microsoft.com/office/drawing/2014/main" id="{B17E1BCD-B1CB-7220-F97A-A41340521CB8}"/>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54428</xdr:colOff>
      <xdr:row>21</xdr:row>
      <xdr:rowOff>130628</xdr:rowOff>
    </xdr:from>
    <xdr:to>
      <xdr:col>1</xdr:col>
      <xdr:colOff>1868466</xdr:colOff>
      <xdr:row>31</xdr:row>
      <xdr:rowOff>146395</xdr:rowOff>
    </xdr:to>
    <xdr:grpSp>
      <xdr:nvGrpSpPr>
        <xdr:cNvPr id="14" name="Group 13">
          <a:extLst>
            <a:ext uri="{FF2B5EF4-FFF2-40B4-BE49-F238E27FC236}">
              <a16:creationId xmlns:a16="http://schemas.microsoft.com/office/drawing/2014/main" id="{86123C73-2B22-4E92-8DFF-CFF6664BD4A6}"/>
            </a:ext>
          </a:extLst>
        </xdr:cNvPr>
        <xdr:cNvGrpSpPr/>
      </xdr:nvGrpSpPr>
      <xdr:grpSpPr>
        <a:xfrm>
          <a:off x="184907" y="3705765"/>
          <a:ext cx="1814038" cy="1842479"/>
          <a:chOff x="130629" y="1469571"/>
          <a:chExt cx="2566878" cy="1866338"/>
        </a:xfrm>
      </xdr:grpSpPr>
      <xdr:graphicFrame macro="">
        <xdr:nvGraphicFramePr>
          <xdr:cNvPr id="15" name="Chart 14">
            <a:extLst>
              <a:ext uri="{FF2B5EF4-FFF2-40B4-BE49-F238E27FC236}">
                <a16:creationId xmlns:a16="http://schemas.microsoft.com/office/drawing/2014/main" id="{61B2D722-84AB-3669-8C66-039E049EB178}"/>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D696B825-4730-9A0F-932F-504E87AB29B5}"/>
              </a:ext>
            </a:extLst>
          </xdr:cNvPr>
          <xdr:cNvSpPr txBox="1"/>
        </xdr:nvSpPr>
        <xdr:spPr>
          <a:xfrm>
            <a:off x="597211" y="1567543"/>
            <a:ext cx="1547273" cy="2286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0070C0"/>
                </a:solidFill>
              </a:rPr>
              <a:t>Net</a:t>
            </a:r>
            <a:r>
              <a:rPr lang="en-IN" sz="1000" b="1" baseline="0">
                <a:solidFill>
                  <a:srgbClr val="0070C0"/>
                </a:solidFill>
              </a:rPr>
              <a:t> Margins (%)</a:t>
            </a:r>
            <a:endParaRPr lang="en-IN" sz="1000" b="1">
              <a:solidFill>
                <a:srgbClr val="0070C0"/>
              </a:solidFill>
            </a:endParaRPr>
          </a:p>
          <a:p>
            <a:pPr algn="ctr"/>
            <a:endParaRPr lang="en-IN" sz="1000" b="1">
              <a:solidFill>
                <a:srgbClr val="92D050"/>
              </a:solidFill>
            </a:endParaRPr>
          </a:p>
        </xdr:txBody>
      </xdr:sp>
      <xdr:cxnSp macro="">
        <xdr:nvCxnSpPr>
          <xdr:cNvPr id="17" name="Straight Connector 16">
            <a:extLst>
              <a:ext uri="{FF2B5EF4-FFF2-40B4-BE49-F238E27FC236}">
                <a16:creationId xmlns:a16="http://schemas.microsoft.com/office/drawing/2014/main" id="{D1CFE005-63E3-4DC3-4036-DC260BB20882}"/>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260959</xdr:colOff>
      <xdr:row>21</xdr:row>
      <xdr:rowOff>125803</xdr:rowOff>
    </xdr:from>
    <xdr:to>
      <xdr:col>5</xdr:col>
      <xdr:colOff>135698</xdr:colOff>
      <xdr:row>31</xdr:row>
      <xdr:rowOff>141570</xdr:rowOff>
    </xdr:to>
    <xdr:grpSp>
      <xdr:nvGrpSpPr>
        <xdr:cNvPr id="18" name="Group 17">
          <a:extLst>
            <a:ext uri="{FF2B5EF4-FFF2-40B4-BE49-F238E27FC236}">
              <a16:creationId xmlns:a16="http://schemas.microsoft.com/office/drawing/2014/main" id="{CE0421E8-5C19-40AD-AD25-9944DC53178C}"/>
            </a:ext>
          </a:extLst>
        </xdr:cNvPr>
        <xdr:cNvGrpSpPr/>
      </xdr:nvGrpSpPr>
      <xdr:grpSpPr>
        <a:xfrm>
          <a:off x="2313836" y="3700940"/>
          <a:ext cx="1936314" cy="1842479"/>
          <a:chOff x="130629" y="1469571"/>
          <a:chExt cx="2566878" cy="1866338"/>
        </a:xfrm>
      </xdr:grpSpPr>
      <xdr:graphicFrame macro="">
        <xdr:nvGraphicFramePr>
          <xdr:cNvPr id="19" name="Chart 18">
            <a:extLst>
              <a:ext uri="{FF2B5EF4-FFF2-40B4-BE49-F238E27FC236}">
                <a16:creationId xmlns:a16="http://schemas.microsoft.com/office/drawing/2014/main" id="{ACAD391A-F984-E70C-4A8D-EB92B0C5DABB}"/>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E809225E-9312-8F3C-6CF4-37CE9DE4A0B1}"/>
              </a:ext>
            </a:extLst>
          </xdr:cNvPr>
          <xdr:cNvSpPr txBox="1"/>
        </xdr:nvSpPr>
        <xdr:spPr>
          <a:xfrm>
            <a:off x="597211" y="1565764"/>
            <a:ext cx="1886407" cy="230379"/>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baseline="0">
                <a:solidFill>
                  <a:srgbClr val="0070C0"/>
                </a:solidFill>
              </a:rPr>
              <a:t>Return on Equity (%)</a:t>
            </a:r>
            <a:endParaRPr lang="en-IN" sz="1000" b="1">
              <a:solidFill>
                <a:srgbClr val="0070C0"/>
              </a:solidFill>
            </a:endParaRPr>
          </a:p>
          <a:p>
            <a:pPr algn="ctr"/>
            <a:endParaRPr lang="en-IN" sz="1000" b="1">
              <a:solidFill>
                <a:srgbClr val="92D050"/>
              </a:solidFill>
            </a:endParaRPr>
          </a:p>
        </xdr:txBody>
      </xdr:sp>
      <xdr:cxnSp macro="">
        <xdr:nvCxnSpPr>
          <xdr:cNvPr id="21" name="Straight Connector 20">
            <a:extLst>
              <a:ext uri="{FF2B5EF4-FFF2-40B4-BE49-F238E27FC236}">
                <a16:creationId xmlns:a16="http://schemas.microsoft.com/office/drawing/2014/main" id="{5C453443-2CB7-7658-2DDC-8E2896BE7FCE}"/>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501041</xdr:colOff>
      <xdr:row>21</xdr:row>
      <xdr:rowOff>124918</xdr:rowOff>
    </xdr:from>
    <xdr:to>
      <xdr:col>8</xdr:col>
      <xdr:colOff>15873</xdr:colOff>
      <xdr:row>31</xdr:row>
      <xdr:rowOff>140685</xdr:rowOff>
    </xdr:to>
    <xdr:grpSp>
      <xdr:nvGrpSpPr>
        <xdr:cNvPr id="22" name="Group 21">
          <a:extLst>
            <a:ext uri="{FF2B5EF4-FFF2-40B4-BE49-F238E27FC236}">
              <a16:creationId xmlns:a16="http://schemas.microsoft.com/office/drawing/2014/main" id="{9CC70164-83FF-4EC0-886C-92DE45BCCB7F}"/>
            </a:ext>
          </a:extLst>
        </xdr:cNvPr>
        <xdr:cNvGrpSpPr/>
      </xdr:nvGrpSpPr>
      <xdr:grpSpPr>
        <a:xfrm>
          <a:off x="4615493" y="3700055"/>
          <a:ext cx="2046133" cy="1842479"/>
          <a:chOff x="130629" y="1469571"/>
          <a:chExt cx="2566878" cy="1866338"/>
        </a:xfrm>
      </xdr:grpSpPr>
      <xdr:graphicFrame macro="">
        <xdr:nvGraphicFramePr>
          <xdr:cNvPr id="23" name="Chart 22">
            <a:extLst>
              <a:ext uri="{FF2B5EF4-FFF2-40B4-BE49-F238E27FC236}">
                <a16:creationId xmlns:a16="http://schemas.microsoft.com/office/drawing/2014/main" id="{0CEAE09B-6306-CF6B-E504-93097B6C1AA8}"/>
              </a:ext>
            </a:extLst>
          </xdr:cNvPr>
          <xdr:cNvGraphicFramePr/>
        </xdr:nvGraphicFramePr>
        <xdr:xfrm>
          <a:off x="143233" y="1786975"/>
          <a:ext cx="2554274" cy="154893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4" name="TextBox 23">
            <a:extLst>
              <a:ext uri="{FF2B5EF4-FFF2-40B4-BE49-F238E27FC236}">
                <a16:creationId xmlns:a16="http://schemas.microsoft.com/office/drawing/2014/main" id="{5E7CACB3-0B46-1A67-D359-B74746E2B148}"/>
              </a:ext>
            </a:extLst>
          </xdr:cNvPr>
          <xdr:cNvSpPr txBox="1"/>
        </xdr:nvSpPr>
        <xdr:spPr>
          <a:xfrm>
            <a:off x="597211" y="1567543"/>
            <a:ext cx="1547273" cy="2286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baseline="0">
                <a:solidFill>
                  <a:srgbClr val="0070C0"/>
                </a:solidFill>
              </a:rPr>
              <a:t>Financial Leverage </a:t>
            </a:r>
          </a:p>
          <a:p>
            <a:pPr algn="ctr"/>
            <a:endParaRPr lang="en-IN" sz="1000" b="1">
              <a:solidFill>
                <a:srgbClr val="92D050"/>
              </a:solidFill>
            </a:endParaRPr>
          </a:p>
          <a:p>
            <a:pPr algn="ctr"/>
            <a:endParaRPr lang="en-IN" sz="1000" b="1">
              <a:solidFill>
                <a:srgbClr val="92D050"/>
              </a:solidFill>
            </a:endParaRPr>
          </a:p>
        </xdr:txBody>
      </xdr:sp>
      <xdr:cxnSp macro="">
        <xdr:nvCxnSpPr>
          <xdr:cNvPr id="25" name="Straight Connector 24">
            <a:extLst>
              <a:ext uri="{FF2B5EF4-FFF2-40B4-BE49-F238E27FC236}">
                <a16:creationId xmlns:a16="http://schemas.microsoft.com/office/drawing/2014/main" id="{1CC3A4D3-6F00-6A4D-8FEE-EBE45AB82EE1}"/>
              </a:ext>
            </a:extLst>
          </xdr:cNvPr>
          <xdr:cNvCxnSpPr/>
        </xdr:nvCxnSpPr>
        <xdr:spPr>
          <a:xfrm flipV="1">
            <a:off x="130629" y="1469571"/>
            <a:ext cx="2492828" cy="10886"/>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68580</xdr:colOff>
      <xdr:row>9</xdr:row>
      <xdr:rowOff>118110</xdr:rowOff>
    </xdr:from>
    <xdr:to>
      <xdr:col>6</xdr:col>
      <xdr:colOff>327660</xdr:colOff>
      <xdr:row>21</xdr:row>
      <xdr:rowOff>144780</xdr:rowOff>
    </xdr:to>
    <xdr:graphicFrame macro="">
      <xdr:nvGraphicFramePr>
        <xdr:cNvPr id="2" name="Chart 1">
          <a:extLst>
            <a:ext uri="{FF2B5EF4-FFF2-40B4-BE49-F238E27FC236}">
              <a16:creationId xmlns:a16="http://schemas.microsoft.com/office/drawing/2014/main" id="{77C86CE3-FB07-5FCC-033F-EDD458724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487680</xdr:colOff>
      <xdr:row>6</xdr:row>
      <xdr:rowOff>41910</xdr:rowOff>
    </xdr:from>
    <xdr:to>
      <xdr:col>15</xdr:col>
      <xdr:colOff>411480</xdr:colOff>
      <xdr:row>19</xdr:row>
      <xdr:rowOff>38100</xdr:rowOff>
    </xdr:to>
    <xdr:graphicFrame macro="">
      <xdr:nvGraphicFramePr>
        <xdr:cNvPr id="2" name="Chart 1">
          <a:extLst>
            <a:ext uri="{FF2B5EF4-FFF2-40B4-BE49-F238E27FC236}">
              <a16:creationId xmlns:a16="http://schemas.microsoft.com/office/drawing/2014/main" id="{C89AA5F4-CC2B-F0D7-24EC-6F7D3BE94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350520</xdr:colOff>
      <xdr:row>6</xdr:row>
      <xdr:rowOff>41910</xdr:rowOff>
    </xdr:from>
    <xdr:to>
      <xdr:col>13</xdr:col>
      <xdr:colOff>45720</xdr:colOff>
      <xdr:row>21</xdr:row>
      <xdr:rowOff>41910</xdr:rowOff>
    </xdr:to>
    <xdr:graphicFrame macro="">
      <xdr:nvGraphicFramePr>
        <xdr:cNvPr id="4" name="Chart 3">
          <a:extLst>
            <a:ext uri="{FF2B5EF4-FFF2-40B4-BE49-F238E27FC236}">
              <a16:creationId xmlns:a16="http://schemas.microsoft.com/office/drawing/2014/main" id="{1D67F9AE-79DF-6073-995A-676F1B76D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36a32b1b50f848d/Desktop/Financial%20Modeling/Tata%20Power%20Co.xlsx" TargetMode="External"/><Relationship Id="rId1" Type="http://schemas.openxmlformats.org/officeDocument/2006/relationships/externalLinkPath" Target="https://d.docs.live.net/c36a32b1b50f848d/Desktop/Financial%20Modeling/Tata%20Power%20Co.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kulm/Downloads/Tata%20Steel%20(1)%20(1).xlsx" TargetMode="External"/><Relationship Id="rId2" Type="http://schemas.openxmlformats.org/officeDocument/2006/relationships/externalLinkPath" Target="file:///C:\Users\akulm\Downloads\Tata%20Steel%20(1)%20(1).xlsx" TargetMode="External"/><Relationship Id="rId1" Type="http://schemas.openxmlformats.org/officeDocument/2006/relationships/externalLinkPath" Target="/Users/akulm/Downloads/Tata%20Steel%20(1)%20(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akulm/Downloads/Tata%20Steel%20(1)%20(2).xlsx" TargetMode="External"/><Relationship Id="rId2" Type="http://schemas.openxmlformats.org/officeDocument/2006/relationships/externalLinkPath" Target="file:///C:\Users\akulm\Downloads\Tata%20Steel%20(1)%20(2).xlsx" TargetMode="External"/><Relationship Id="rId1" Type="http://schemas.openxmlformats.org/officeDocument/2006/relationships/externalLinkPath" Target="/Users/akulm/Downloads/Tata%20Steel%20(1)%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rst Page"/>
      <sheetName val="Key Financial Metrics"/>
      <sheetName val="Dupont Analysis "/>
      <sheetName val="Altman Score"/>
      <sheetName val="WACC"/>
      <sheetName val="Reinvestment rate"/>
      <sheetName val="DCF"/>
      <sheetName val="Relative "/>
      <sheetName val="data "/>
      <sheetName val="Profit &amp; Loss"/>
      <sheetName val="Quarters"/>
      <sheetName val="Balance Sheet"/>
      <sheetName val="Cash Flow"/>
      <sheetName val="Customization"/>
      <sheetName val="Data Sheet"/>
    </sheetNames>
    <sheetDataSet>
      <sheetData sheetId="0"/>
      <sheetData sheetId="1"/>
      <sheetData sheetId="2"/>
      <sheetData sheetId="3">
        <row r="41">
          <cell r="F41">
            <v>44621</v>
          </cell>
          <cell r="G41">
            <v>44986</v>
          </cell>
          <cell r="H41">
            <v>45352</v>
          </cell>
          <cell r="I41">
            <v>45717</v>
          </cell>
          <cell r="J41">
            <v>46082</v>
          </cell>
        </row>
      </sheetData>
      <sheetData sheetId="4"/>
      <sheetData sheetId="5"/>
      <sheetData sheetId="6">
        <row r="34">
          <cell r="F34">
            <v>44986</v>
          </cell>
          <cell r="G34">
            <v>45352</v>
          </cell>
          <cell r="H34">
            <v>45717</v>
          </cell>
          <cell r="I34">
            <v>46082</v>
          </cell>
        </row>
      </sheetData>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arative Statement Inc"/>
      <sheetName val="Comparative Statement  Balance"/>
      <sheetName val="Common size income "/>
      <sheetName val="Common size balance"/>
      <sheetName val="Altman's scroe"/>
      <sheetName val="Dupont Analysis"/>
      <sheetName val="Assumption and Drivers"/>
      <sheetName val="Ratio "/>
      <sheetName val="Balance Sheet"/>
      <sheetName val="Profit &amp; Loss"/>
      <sheetName val="HistoricalFS"/>
      <sheetName val="Data Sheet"/>
      <sheetName val="Sheet1"/>
      <sheetName val="Sheet2"/>
      <sheetName val="Sheet3"/>
      <sheetName val="Relative Valuation "/>
      <sheetName val="WACC"/>
      <sheetName val="M&amp;A"/>
      <sheetName val="Inputs"/>
      <sheetName val="DCF"/>
      <sheetName val="Football Field Analysis"/>
      <sheetName val="Invesment recomendation"/>
      <sheetName val="Simple LBo"/>
      <sheetName val="Benish -M Score "/>
      <sheetName val="Quarters"/>
      <sheetName val="Cash Flow"/>
      <sheetName val="Customization"/>
    </sheetNames>
    <sheetDataSet>
      <sheetData sheetId="0"/>
      <sheetData sheetId="1"/>
      <sheetData sheetId="2"/>
      <sheetData sheetId="3"/>
      <sheetData sheetId="4"/>
      <sheetData sheetId="5"/>
      <sheetData sheetId="6"/>
      <sheetData sheetId="7"/>
      <sheetData sheetId="8"/>
      <sheetData sheetId="9"/>
      <sheetData sheetId="10">
        <row r="39">
          <cell r="C39">
            <v>1196.5899999999999</v>
          </cell>
          <cell r="D39">
            <v>1221.3</v>
          </cell>
          <cell r="E39">
            <v>1222.1500000000001</v>
          </cell>
          <cell r="F39">
            <v>1248.3499999999999</v>
          </cell>
          <cell r="G39">
            <v>1248.3499999999999</v>
          </cell>
          <cell r="H39">
            <v>1248.3499999999999</v>
          </cell>
        </row>
      </sheetData>
      <sheetData sheetId="11">
        <row r="17">
          <cell r="B17">
            <v>156477.4</v>
          </cell>
          <cell r="C17">
            <v>243959.17</v>
          </cell>
          <cell r="D17">
            <v>243352.69</v>
          </cell>
          <cell r="E17">
            <v>229170.78</v>
          </cell>
          <cell r="F17">
            <v>218542.51</v>
          </cell>
          <cell r="G17">
            <v>232139.94</v>
          </cell>
        </row>
        <row r="18">
          <cell r="B18">
            <v>55100.81</v>
          </cell>
          <cell r="C18">
            <v>91076.61</v>
          </cell>
          <cell r="D18">
            <v>116597.19</v>
          </cell>
          <cell r="E18">
            <v>97506.39</v>
          </cell>
          <cell r="F18">
            <v>95097.3</v>
          </cell>
          <cell r="G18">
            <v>92628.07</v>
          </cell>
        </row>
        <row r="19">
          <cell r="B19">
            <v>-1516.77</v>
          </cell>
          <cell r="C19">
            <v>7597.87</v>
          </cell>
          <cell r="D19">
            <v>3358.89</v>
          </cell>
          <cell r="E19">
            <v>-4409.3500000000004</v>
          </cell>
          <cell r="F19">
            <v>96.65</v>
          </cell>
          <cell r="G19">
            <v>-989.62</v>
          </cell>
        </row>
        <row r="20">
          <cell r="B20">
            <v>5708.42</v>
          </cell>
          <cell r="C20">
            <v>8028.29</v>
          </cell>
          <cell r="D20">
            <v>9526.91</v>
          </cell>
          <cell r="E20">
            <v>16612.61</v>
          </cell>
          <cell r="F20">
            <v>13124.85</v>
          </cell>
          <cell r="G20">
            <v>14333.15</v>
          </cell>
        </row>
        <row r="21">
          <cell r="B21">
            <v>20744.93</v>
          </cell>
          <cell r="C21">
            <v>28834.06</v>
          </cell>
          <cell r="D21">
            <v>33144.83</v>
          </cell>
          <cell r="E21">
            <v>40116.910000000003</v>
          </cell>
          <cell r="F21">
            <v>38700.5</v>
          </cell>
          <cell r="G21">
            <v>37485.96</v>
          </cell>
        </row>
        <row r="22">
          <cell r="B22">
            <v>19908.810000000001</v>
          </cell>
          <cell r="C22">
            <v>23264.1</v>
          </cell>
          <cell r="D22">
            <v>22419.32</v>
          </cell>
          <cell r="E22">
            <v>24509.58</v>
          </cell>
          <cell r="F22">
            <v>24888.99</v>
          </cell>
          <cell r="G22">
            <v>25998.98</v>
          </cell>
        </row>
        <row r="23">
          <cell r="B23">
            <v>17509.77</v>
          </cell>
          <cell r="C23">
            <v>27445.67</v>
          </cell>
          <cell r="D23">
            <v>25519.919999999998</v>
          </cell>
          <cell r="E23">
            <v>14453.57</v>
          </cell>
          <cell r="F23">
            <v>12137.26</v>
          </cell>
          <cell r="G23">
            <v>13348.99</v>
          </cell>
        </row>
        <row r="24">
          <cell r="B24">
            <v>5483.63</v>
          </cell>
          <cell r="C24">
            <v>9418.36</v>
          </cell>
          <cell r="D24">
            <v>7203.25</v>
          </cell>
          <cell r="E24">
            <v>9314.4500000000007</v>
          </cell>
          <cell r="F24">
            <v>9391.81</v>
          </cell>
          <cell r="G24">
            <v>13002.73</v>
          </cell>
        </row>
        <row r="25">
          <cell r="B25">
            <v>179.78</v>
          </cell>
          <cell r="C25">
            <v>1299.99</v>
          </cell>
          <cell r="D25">
            <v>1568.86</v>
          </cell>
          <cell r="E25">
            <v>-6005.23</v>
          </cell>
          <cell r="F25">
            <v>876.7</v>
          </cell>
          <cell r="G25">
            <v>737.82</v>
          </cell>
        </row>
        <row r="26">
          <cell r="B26">
            <v>9233.64</v>
          </cell>
          <cell r="C26">
            <v>9100.8700000000008</v>
          </cell>
          <cell r="D26">
            <v>9335.2000000000007</v>
          </cell>
          <cell r="E26">
            <v>9882.16</v>
          </cell>
          <cell r="F26">
            <v>10421.33</v>
          </cell>
          <cell r="G26">
            <v>11954.51</v>
          </cell>
        </row>
        <row r="27">
          <cell r="B27">
            <v>7606.71</v>
          </cell>
          <cell r="C27">
            <v>5462.2</v>
          </cell>
          <cell r="D27">
            <v>6298.7</v>
          </cell>
          <cell r="E27">
            <v>7507.57</v>
          </cell>
          <cell r="F27">
            <v>7340.95</v>
          </cell>
          <cell r="G27">
            <v>7167.06</v>
          </cell>
        </row>
        <row r="29">
          <cell r="B29">
            <v>5653.9</v>
          </cell>
          <cell r="C29">
            <v>8477.5499999999993</v>
          </cell>
          <cell r="D29">
            <v>10159.77</v>
          </cell>
          <cell r="E29">
            <v>3762.57</v>
          </cell>
          <cell r="F29">
            <v>5239.09</v>
          </cell>
          <cell r="G29">
            <v>5082.87</v>
          </cell>
        </row>
        <row r="31">
          <cell r="B31">
            <v>2994.02</v>
          </cell>
          <cell r="C31">
            <v>6228.17</v>
          </cell>
          <cell r="D31">
            <v>4396.46</v>
          </cell>
          <cell r="E31">
            <v>4490.78</v>
          </cell>
          <cell r="F31">
            <v>4490.78</v>
          </cell>
          <cell r="G31">
            <v>4989.76</v>
          </cell>
        </row>
        <row r="56">
          <cell r="B56">
            <v>44286</v>
          </cell>
          <cell r="C56">
            <v>44651</v>
          </cell>
          <cell r="D56">
            <v>45016</v>
          </cell>
          <cell r="E56">
            <v>45382</v>
          </cell>
          <cell r="F56">
            <v>45747</v>
          </cell>
          <cell r="G56">
            <v>46112</v>
          </cell>
        </row>
        <row r="57">
          <cell r="B57">
            <v>1197.6099999999999</v>
          </cell>
          <cell r="C57">
            <v>1221.21</v>
          </cell>
          <cell r="D57">
            <v>1221.24</v>
          </cell>
          <cell r="E57">
            <v>1247.44</v>
          </cell>
          <cell r="F57">
            <v>1247.44</v>
          </cell>
          <cell r="G57">
            <v>1247.44</v>
          </cell>
        </row>
        <row r="58">
          <cell r="B58">
            <v>73041.16</v>
          </cell>
          <cell r="C58">
            <v>113221.83</v>
          </cell>
          <cell r="D58">
            <v>101860.86</v>
          </cell>
          <cell r="E58">
            <v>90788.32</v>
          </cell>
          <cell r="F58">
            <v>89922.19</v>
          </cell>
          <cell r="G58">
            <v>100920.21</v>
          </cell>
        </row>
        <row r="59">
          <cell r="B59">
            <v>88501.41</v>
          </cell>
          <cell r="C59">
            <v>75561.350000000006</v>
          </cell>
          <cell r="D59">
            <v>84893.05</v>
          </cell>
          <cell r="E59">
            <v>87082.12</v>
          </cell>
          <cell r="F59">
            <v>94801.05</v>
          </cell>
          <cell r="G59">
            <v>92381.68</v>
          </cell>
        </row>
        <row r="60">
          <cell r="B60">
            <v>81169.009999999995</v>
          </cell>
          <cell r="C60">
            <v>92417.279999999999</v>
          </cell>
          <cell r="D60">
            <v>97420.63</v>
          </cell>
          <cell r="E60">
            <v>90194.54</v>
          </cell>
          <cell r="F60">
            <v>89487.9</v>
          </cell>
          <cell r="G60">
            <v>101965.29</v>
          </cell>
        </row>
        <row r="62">
          <cell r="B62">
            <v>25967</v>
          </cell>
          <cell r="C62">
            <v>36765</v>
          </cell>
          <cell r="D62">
            <v>37833</v>
          </cell>
          <cell r="E62">
            <v>30228</v>
          </cell>
          <cell r="F62">
            <v>29314</v>
          </cell>
          <cell r="G62">
            <v>34810</v>
          </cell>
        </row>
        <row r="63">
          <cell r="B63">
            <v>2399</v>
          </cell>
          <cell r="C63">
            <v>3253</v>
          </cell>
          <cell r="D63">
            <v>3394</v>
          </cell>
          <cell r="E63">
            <v>2771</v>
          </cell>
          <cell r="F63">
            <v>1655</v>
          </cell>
          <cell r="G63">
            <v>2222</v>
          </cell>
        </row>
        <row r="66">
          <cell r="B66">
            <v>135775.18</v>
          </cell>
          <cell r="C66">
            <v>133287.82999999999</v>
          </cell>
          <cell r="D66">
            <v>146621.46</v>
          </cell>
          <cell r="E66">
            <v>148814.38</v>
          </cell>
          <cell r="F66">
            <v>150914.06</v>
          </cell>
          <cell r="G66">
            <v>179908.13</v>
          </cell>
        </row>
        <row r="67">
          <cell r="B67">
            <v>19007.400000000001</v>
          </cell>
          <cell r="C67">
            <v>22045.55</v>
          </cell>
          <cell r="D67">
            <v>31213.02</v>
          </cell>
          <cell r="E67">
            <v>34355.53</v>
          </cell>
          <cell r="F67">
            <v>41622.35</v>
          </cell>
          <cell r="G67">
            <v>28496.71</v>
          </cell>
        </row>
        <row r="68">
          <cell r="B68">
            <v>10681.93</v>
          </cell>
          <cell r="C68">
            <v>13139.85</v>
          </cell>
          <cell r="D68">
            <v>8410.31</v>
          </cell>
          <cell r="E68">
            <v>6257.57</v>
          </cell>
          <cell r="F68">
            <v>6194.11</v>
          </cell>
          <cell r="G68">
            <v>7088.85</v>
          </cell>
        </row>
        <row r="69">
          <cell r="B69">
            <v>78444.679999999993</v>
          </cell>
          <cell r="C69">
            <v>113948.44</v>
          </cell>
          <cell r="D69">
            <v>99150.99</v>
          </cell>
          <cell r="E69">
            <v>79884.94</v>
          </cell>
          <cell r="F69">
            <v>76728.06</v>
          </cell>
          <cell r="G69">
            <v>81020.929999999993</v>
          </cell>
        </row>
        <row r="70">
          <cell r="B70">
            <v>9539.84</v>
          </cell>
          <cell r="C70">
            <v>12246.43</v>
          </cell>
          <cell r="D70">
            <v>8257.24</v>
          </cell>
          <cell r="E70">
            <v>6263.53</v>
          </cell>
          <cell r="F70">
            <v>5260.06</v>
          </cell>
          <cell r="G70">
            <v>4916.8900000000003</v>
          </cell>
        </row>
        <row r="71">
          <cell r="B71">
            <v>33276.379999999997</v>
          </cell>
          <cell r="C71">
            <v>48824.39</v>
          </cell>
          <cell r="D71">
            <v>54415.33</v>
          </cell>
          <cell r="E71">
            <v>49157.51</v>
          </cell>
          <cell r="F71">
            <v>44589.94</v>
          </cell>
          <cell r="G71">
            <v>47249.22</v>
          </cell>
        </row>
        <row r="72">
          <cell r="B72">
            <v>5782.18</v>
          </cell>
          <cell r="C72">
            <v>15898.93</v>
          </cell>
          <cell r="D72">
            <v>13357.26</v>
          </cell>
          <cell r="E72">
            <v>8677.7199999999993</v>
          </cell>
          <cell r="F72">
            <v>11646.98</v>
          </cell>
          <cell r="G72">
            <v>10057.530000000001</v>
          </cell>
        </row>
        <row r="127">
          <cell r="B127">
            <v>1196.5899999999999</v>
          </cell>
          <cell r="C127">
            <v>1221.3</v>
          </cell>
          <cell r="D127">
            <v>1222.1500000000001</v>
          </cell>
          <cell r="E127">
            <v>1248.3499999999999</v>
          </cell>
          <cell r="F127">
            <v>1248.3499999999999</v>
          </cell>
          <cell r="G127">
            <v>1248.3499999999999</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arative Statement Inc"/>
      <sheetName val="Comparative Statement  Balance"/>
      <sheetName val="Common size income "/>
      <sheetName val="Common size balance"/>
      <sheetName val="Altman's scroe"/>
      <sheetName val="Dupont Analysis"/>
      <sheetName val="Assumption and Drivers"/>
      <sheetName val="Ratio "/>
      <sheetName val="HistoricalFS"/>
      <sheetName val="Balance Sheet"/>
      <sheetName val="Profit &amp; Loss"/>
      <sheetName val="Data Sheet"/>
      <sheetName val="Sheet1"/>
      <sheetName val="Sheet2"/>
      <sheetName val="Sheet3"/>
      <sheetName val="Relative Valuation "/>
      <sheetName val="WACC"/>
      <sheetName val="M&amp;A"/>
      <sheetName val="Inputs"/>
      <sheetName val="DCF"/>
      <sheetName val="Football Field Analysis"/>
      <sheetName val="Invesment recomendation"/>
      <sheetName val="Simple LBo"/>
      <sheetName val="Benish -M Score "/>
      <sheetName val="Quarters"/>
      <sheetName val="Cash Flow"/>
      <sheetName val="Customization"/>
    </sheetNames>
    <sheetDataSet>
      <sheetData sheetId="0"/>
      <sheetData sheetId="1"/>
      <sheetData sheetId="2"/>
      <sheetData sheetId="3"/>
      <sheetData sheetId="4"/>
      <sheetData sheetId="5"/>
      <sheetData sheetId="6"/>
      <sheetData sheetId="7"/>
      <sheetData sheetId="8">
        <row r="6">
          <cell r="D6">
            <v>243959.17</v>
          </cell>
          <cell r="E6">
            <v>243352.69</v>
          </cell>
          <cell r="F6">
            <v>229170.78</v>
          </cell>
          <cell r="G6">
            <v>218542.51</v>
          </cell>
          <cell r="H6">
            <v>232139.94</v>
          </cell>
        </row>
        <row r="9">
          <cell r="D9">
            <v>143605.19</v>
          </cell>
          <cell r="E9">
            <v>178329.36</v>
          </cell>
          <cell r="F9">
            <v>183154.84</v>
          </cell>
          <cell r="G9">
            <v>171714.99000000002</v>
          </cell>
          <cell r="H9">
            <v>171435.78</v>
          </cell>
        </row>
        <row r="36">
          <cell r="D36">
            <v>41749.320000000007</v>
          </cell>
          <cell r="E36">
            <v>8075.3500000000167</v>
          </cell>
          <cell r="F36">
            <v>-4909.6099999999969</v>
          </cell>
          <cell r="G36">
            <v>3173.7799999999916</v>
          </cell>
          <cell r="H36">
            <v>10885.820000000003</v>
          </cell>
        </row>
        <row r="41">
          <cell r="D41">
            <v>34.184328174895612</v>
          </cell>
          <cell r="E41">
            <v>6.6074949883402336</v>
          </cell>
          <cell r="F41">
            <v>-3.9328794008090657</v>
          </cell>
          <cell r="G41">
            <v>2.5423799415228037</v>
          </cell>
          <cell r="H41">
            <v>8.7201666199383219</v>
          </cell>
        </row>
        <row r="54">
          <cell r="D54">
            <v>36765</v>
          </cell>
          <cell r="E54">
            <v>37833</v>
          </cell>
          <cell r="F54">
            <v>30228</v>
          </cell>
          <cell r="G54">
            <v>29314</v>
          </cell>
          <cell r="H54">
            <v>34810</v>
          </cell>
        </row>
        <row r="55">
          <cell r="D55">
            <v>3253</v>
          </cell>
          <cell r="E55">
            <v>3394</v>
          </cell>
          <cell r="F55">
            <v>2771</v>
          </cell>
          <cell r="G55">
            <v>1655</v>
          </cell>
          <cell r="H55">
            <v>2222</v>
          </cell>
        </row>
        <row r="64">
          <cell r="C64">
            <v>9539.84</v>
          </cell>
          <cell r="D64">
            <v>12246.43</v>
          </cell>
          <cell r="E64">
            <v>8257.24</v>
          </cell>
          <cell r="F64">
            <v>6263.53</v>
          </cell>
          <cell r="G64">
            <v>5260.06</v>
          </cell>
          <cell r="H64">
            <v>4916.8900000000003</v>
          </cell>
        </row>
        <row r="65">
          <cell r="C65">
            <v>33276.379999999997</v>
          </cell>
          <cell r="D65">
            <v>48824.39</v>
          </cell>
          <cell r="E65">
            <v>54415.33</v>
          </cell>
          <cell r="F65">
            <v>49157.51</v>
          </cell>
          <cell r="G65">
            <v>44589.94</v>
          </cell>
          <cell r="H65">
            <v>47249.22</v>
          </cell>
        </row>
        <row r="67">
          <cell r="D67">
            <v>76969.75</v>
          </cell>
          <cell r="E67">
            <v>76029.83</v>
          </cell>
          <cell r="F67">
            <v>64098.76</v>
          </cell>
          <cell r="G67">
            <v>61496.979999999996</v>
          </cell>
          <cell r="H67">
            <v>62223.64</v>
          </cell>
        </row>
        <row r="69">
          <cell r="D69">
            <v>282421.67</v>
          </cell>
          <cell r="E69">
            <v>285395.77999999997</v>
          </cell>
          <cell r="F69">
            <v>269312.42</v>
          </cell>
          <cell r="G69">
            <v>275458.57999999996</v>
          </cell>
          <cell r="H69">
            <v>296514.62</v>
          </cell>
        </row>
      </sheetData>
      <sheetData sheetId="9"/>
      <sheetData sheetId="10"/>
      <sheetData sheetId="11">
        <row r="8">
          <cell r="B8">
            <v>187.27</v>
          </cell>
        </row>
        <row r="31">
          <cell r="C31">
            <v>6228.17</v>
          </cell>
          <cell r="D31">
            <v>4396.46</v>
          </cell>
          <cell r="E31">
            <v>4490.78</v>
          </cell>
          <cell r="F31">
            <v>4490.78</v>
          </cell>
          <cell r="G31">
            <v>4989.76</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6.bin"/><Relationship Id="rId1" Type="http://schemas.openxmlformats.org/officeDocument/2006/relationships/hyperlink" Target="http://www.screener.in/" TargetMode="External"/></Relationships>
</file>

<file path=xl/worksheets/_rels/sheet2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7.bin"/><Relationship Id="rId1" Type="http://schemas.openxmlformats.org/officeDocument/2006/relationships/hyperlink" Target="http://www.screener.in/"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creener.in/"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creener.in/"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5E2D-D3FB-45AA-9517-14BD354B5167}">
  <sheetPr>
    <pageSetUpPr fitToPage="1"/>
  </sheetPr>
  <dimension ref="A1:S35"/>
  <sheetViews>
    <sheetView showGridLines="0" zoomScale="72" workbookViewId="0">
      <selection activeCell="R13" sqref="R13"/>
    </sheetView>
  </sheetViews>
  <sheetFormatPr defaultColWidth="8.90625" defaultRowHeight="14.5" x14ac:dyDescent="0.35"/>
  <cols>
    <col min="1" max="1" width="1.90625" style="253" customWidth="1"/>
    <col min="2" max="2" width="16.54296875" style="253" customWidth="1"/>
    <col min="3" max="5" width="8.90625" style="253"/>
    <col min="6" max="6" width="11.81640625" style="253" bestFit="1" customWidth="1"/>
    <col min="7" max="8" width="8.90625" style="253"/>
    <col min="9" max="9" width="2.6328125" style="253" customWidth="1"/>
    <col min="10" max="12" width="8.90625" style="253"/>
    <col min="13" max="13" width="10" style="253" bestFit="1" customWidth="1"/>
    <col min="14" max="15" width="8.90625" style="253"/>
    <col min="16" max="16" width="14.1796875" style="253" customWidth="1"/>
    <col min="17" max="16384" width="8.90625" style="53"/>
  </cols>
  <sheetData>
    <row r="1" spans="2:19" x14ac:dyDescent="0.35">
      <c r="B1" s="368" t="s">
        <v>464</v>
      </c>
      <c r="C1" s="368"/>
      <c r="D1" s="368"/>
      <c r="E1" s="368"/>
      <c r="F1" s="368"/>
      <c r="G1" s="368"/>
      <c r="H1" s="368"/>
      <c r="I1" s="368"/>
      <c r="J1" s="368"/>
      <c r="K1" s="368"/>
      <c r="L1" s="368"/>
      <c r="M1" s="368"/>
      <c r="N1" s="368"/>
      <c r="O1" s="368"/>
      <c r="P1" s="368"/>
    </row>
    <row r="2" spans="2:19" ht="15" thickBot="1" x14ac:dyDescent="0.4">
      <c r="B2" s="261"/>
      <c r="C2" s="261"/>
      <c r="D2" s="261"/>
      <c r="E2" s="261"/>
      <c r="F2" s="261"/>
      <c r="G2" s="261"/>
      <c r="H2" s="261"/>
      <c r="I2" s="261"/>
      <c r="J2" s="261"/>
      <c r="K2" s="261"/>
      <c r="L2" s="261"/>
      <c r="M2" s="261"/>
      <c r="N2" s="261"/>
      <c r="O2" s="261"/>
      <c r="P2" s="261"/>
    </row>
    <row r="3" spans="2:19" ht="15" thickTop="1" x14ac:dyDescent="0.35">
      <c r="H3" s="369" t="s">
        <v>465</v>
      </c>
      <c r="I3" s="369"/>
      <c r="J3" s="369"/>
      <c r="K3" s="369"/>
      <c r="L3" s="369"/>
      <c r="M3" s="369"/>
      <c r="N3" s="369"/>
      <c r="O3" s="369"/>
      <c r="P3" s="369"/>
    </row>
    <row r="4" spans="2:19" x14ac:dyDescent="0.35">
      <c r="H4" s="370"/>
      <c r="I4" s="370"/>
      <c r="J4" s="370"/>
      <c r="K4" s="370"/>
      <c r="L4" s="370"/>
      <c r="M4" s="370"/>
      <c r="N4" s="370"/>
      <c r="O4" s="370"/>
      <c r="P4" s="370"/>
    </row>
    <row r="5" spans="2:19" x14ac:dyDescent="0.35">
      <c r="H5" s="370"/>
      <c r="I5" s="370"/>
      <c r="J5" s="370"/>
      <c r="K5" s="370"/>
      <c r="L5" s="370"/>
      <c r="M5" s="370"/>
      <c r="N5" s="370"/>
      <c r="O5" s="370"/>
      <c r="P5" s="370"/>
    </row>
    <row r="6" spans="2:19" x14ac:dyDescent="0.35">
      <c r="H6" s="370"/>
      <c r="I6" s="370"/>
      <c r="J6" s="370"/>
      <c r="K6" s="370"/>
      <c r="L6" s="370"/>
      <c r="M6" s="370"/>
      <c r="N6" s="370"/>
      <c r="O6" s="370"/>
      <c r="P6" s="370"/>
    </row>
    <row r="7" spans="2:19" x14ac:dyDescent="0.35">
      <c r="H7" s="370"/>
      <c r="I7" s="370"/>
      <c r="J7" s="370"/>
      <c r="K7" s="370"/>
      <c r="L7" s="370"/>
      <c r="M7" s="370"/>
      <c r="N7" s="370"/>
      <c r="O7" s="370"/>
      <c r="P7" s="370"/>
    </row>
    <row r="8" spans="2:19" x14ac:dyDescent="0.35">
      <c r="H8" s="370"/>
      <c r="I8" s="370"/>
      <c r="J8" s="370"/>
      <c r="K8" s="370"/>
      <c r="L8" s="370"/>
      <c r="M8" s="370"/>
      <c r="N8" s="370"/>
      <c r="O8" s="370"/>
      <c r="P8" s="370"/>
    </row>
    <row r="9" spans="2:19" x14ac:dyDescent="0.35">
      <c r="B9" s="371"/>
      <c r="C9" s="371"/>
      <c r="D9" s="371"/>
      <c r="E9" s="371"/>
      <c r="F9" s="371"/>
      <c r="G9" s="371"/>
      <c r="H9" s="372"/>
      <c r="I9" s="372"/>
      <c r="J9" s="372"/>
      <c r="K9" s="372"/>
      <c r="L9" s="372"/>
      <c r="M9" s="372"/>
      <c r="N9" s="372"/>
      <c r="O9" s="372"/>
      <c r="P9" s="372"/>
    </row>
    <row r="10" spans="2:19" x14ac:dyDescent="0.35">
      <c r="H10" s="373"/>
      <c r="I10" s="373"/>
      <c r="J10" s="373"/>
      <c r="K10" s="373"/>
      <c r="L10" s="373"/>
      <c r="M10" s="373"/>
      <c r="N10" s="373"/>
      <c r="O10" s="373"/>
    </row>
    <row r="11" spans="2:19" x14ac:dyDescent="0.35">
      <c r="B11" s="374" t="s">
        <v>455</v>
      </c>
      <c r="C11" s="374"/>
      <c r="D11" s="374"/>
      <c r="E11" s="374"/>
      <c r="F11" s="374"/>
      <c r="G11" s="374"/>
      <c r="H11" s="374"/>
      <c r="J11" s="374" t="s">
        <v>456</v>
      </c>
      <c r="K11" s="374"/>
      <c r="L11" s="374"/>
      <c r="M11" s="374"/>
      <c r="N11" s="374"/>
      <c r="O11" s="374"/>
      <c r="P11" s="374"/>
    </row>
    <row r="12" spans="2:19" ht="15" thickBot="1" x14ac:dyDescent="0.4">
      <c r="B12" s="375"/>
      <c r="C12" s="375"/>
      <c r="D12" s="375"/>
      <c r="E12" s="375"/>
      <c r="F12" s="375"/>
      <c r="G12" s="375"/>
      <c r="H12" s="375"/>
      <c r="J12" s="375"/>
      <c r="K12" s="375"/>
      <c r="L12" s="375"/>
      <c r="M12" s="375"/>
      <c r="N12" s="375"/>
      <c r="O12" s="375"/>
      <c r="P12" s="375"/>
      <c r="R12"/>
    </row>
    <row r="13" spans="2:19" ht="15" customHeight="1" thickTop="1" x14ac:dyDescent="0.35">
      <c r="B13" s="328" t="s">
        <v>457</v>
      </c>
      <c r="C13" s="328"/>
      <c r="D13" s="328"/>
      <c r="E13" s="328"/>
      <c r="F13" s="328" t="s">
        <v>467</v>
      </c>
      <c r="G13" s="328"/>
      <c r="H13" s="328"/>
      <c r="J13" s="376" t="s">
        <v>466</v>
      </c>
      <c r="K13" s="369"/>
      <c r="L13" s="369"/>
      <c r="M13" s="369"/>
      <c r="N13" s="369"/>
      <c r="O13" s="369"/>
      <c r="P13" s="369"/>
      <c r="S13"/>
    </row>
    <row r="14" spans="2:19" x14ac:dyDescent="0.35">
      <c r="B14" s="246" t="s">
        <v>458</v>
      </c>
      <c r="C14" s="246"/>
      <c r="D14" s="246"/>
      <c r="E14" s="246"/>
      <c r="F14" s="246" t="s">
        <v>459</v>
      </c>
      <c r="G14" s="246"/>
      <c r="H14" s="246"/>
      <c r="J14" s="370"/>
      <c r="K14" s="370"/>
      <c r="L14" s="370"/>
      <c r="M14" s="370"/>
      <c r="N14" s="370"/>
      <c r="O14" s="370"/>
      <c r="P14" s="370"/>
    </row>
    <row r="15" spans="2:19" ht="15.5" x14ac:dyDescent="0.35">
      <c r="B15" s="103" t="s">
        <v>460</v>
      </c>
      <c r="C15" s="246"/>
      <c r="D15" s="246"/>
      <c r="E15" s="246"/>
      <c r="F15" s="377" t="s">
        <v>468</v>
      </c>
      <c r="G15" s="246"/>
      <c r="H15" s="246"/>
      <c r="I15" s="378"/>
      <c r="J15" s="370"/>
      <c r="K15" s="370"/>
      <c r="L15" s="370"/>
      <c r="M15" s="370"/>
      <c r="N15" s="370"/>
      <c r="O15" s="370"/>
      <c r="P15" s="370"/>
    </row>
    <row r="16" spans="2:19" x14ac:dyDescent="0.35">
      <c r="B16" s="103" t="s">
        <v>461</v>
      </c>
      <c r="C16" s="246"/>
      <c r="D16" s="246"/>
      <c r="E16" s="246"/>
      <c r="F16" s="377" t="s">
        <v>469</v>
      </c>
      <c r="G16" s="246"/>
      <c r="H16" s="246"/>
      <c r="J16" s="370"/>
      <c r="K16" s="370"/>
      <c r="L16" s="370"/>
      <c r="M16" s="370"/>
      <c r="N16" s="370"/>
      <c r="O16" s="370"/>
      <c r="P16" s="370"/>
    </row>
    <row r="17" spans="2:16" ht="13.75" customHeight="1" x14ac:dyDescent="0.35">
      <c r="B17" s="379" t="s">
        <v>462</v>
      </c>
      <c r="C17" s="379"/>
      <c r="D17" s="379"/>
      <c r="E17" s="379"/>
      <c r="F17" s="246" t="s">
        <v>470</v>
      </c>
      <c r="G17" s="246"/>
      <c r="H17" s="246"/>
      <c r="J17" s="370"/>
      <c r="K17" s="370"/>
      <c r="L17" s="370"/>
      <c r="M17" s="370"/>
      <c r="N17" s="370"/>
      <c r="O17" s="370"/>
      <c r="P17" s="370"/>
    </row>
    <row r="18" spans="2:16" x14ac:dyDescent="0.35">
      <c r="B18" s="380"/>
      <c r="C18" s="380"/>
      <c r="D18" s="380"/>
      <c r="E18" s="380"/>
      <c r="F18" s="246" t="s">
        <v>471</v>
      </c>
      <c r="G18" s="246"/>
      <c r="H18" s="246"/>
      <c r="J18" s="370"/>
      <c r="K18" s="370"/>
      <c r="L18" s="370"/>
      <c r="M18" s="370"/>
      <c r="N18" s="370"/>
      <c r="O18" s="370"/>
      <c r="P18" s="370"/>
    </row>
    <row r="19" spans="2:16" x14ac:dyDescent="0.35">
      <c r="B19" s="380"/>
      <c r="C19" s="380"/>
      <c r="D19" s="380"/>
      <c r="E19" s="380"/>
      <c r="F19" s="246" t="s">
        <v>472</v>
      </c>
      <c r="G19" s="246"/>
      <c r="H19" s="246"/>
      <c r="J19" s="370"/>
      <c r="K19" s="370"/>
      <c r="L19" s="370"/>
      <c r="M19" s="370"/>
      <c r="N19" s="370"/>
      <c r="O19" s="370"/>
      <c r="P19" s="370"/>
    </row>
    <row r="20" spans="2:16" x14ac:dyDescent="0.35">
      <c r="B20" s="381"/>
      <c r="C20" s="381"/>
      <c r="D20" s="381"/>
      <c r="E20" s="381"/>
      <c r="F20" s="246" t="s">
        <v>473</v>
      </c>
      <c r="G20" s="246"/>
      <c r="H20" s="246"/>
      <c r="J20" s="370"/>
      <c r="K20" s="370"/>
      <c r="L20" s="370"/>
      <c r="M20" s="370"/>
      <c r="N20" s="370"/>
      <c r="O20" s="370"/>
      <c r="P20" s="370"/>
    </row>
    <row r="21" spans="2:16" x14ac:dyDescent="0.35">
      <c r="B21" s="373"/>
      <c r="C21" s="373"/>
      <c r="D21" s="373"/>
      <c r="E21" s="373"/>
      <c r="J21" s="370"/>
      <c r="K21" s="370"/>
      <c r="L21" s="370"/>
      <c r="M21" s="370"/>
      <c r="N21" s="370"/>
      <c r="O21" s="370"/>
      <c r="P21" s="370"/>
    </row>
    <row r="22" spans="2:16" x14ac:dyDescent="0.35">
      <c r="B22" s="373"/>
      <c r="C22" s="373"/>
      <c r="D22" s="373"/>
      <c r="E22" s="373"/>
      <c r="J22" s="370"/>
      <c r="K22" s="370"/>
      <c r="L22" s="370"/>
      <c r="M22" s="370"/>
      <c r="N22" s="370"/>
      <c r="O22" s="370"/>
      <c r="P22" s="370"/>
    </row>
    <row r="23" spans="2:16" x14ac:dyDescent="0.35">
      <c r="B23" s="373"/>
      <c r="C23" s="373"/>
      <c r="D23" s="373"/>
      <c r="E23" s="373"/>
      <c r="J23" s="370"/>
      <c r="K23" s="370"/>
      <c r="L23" s="370"/>
      <c r="M23" s="370"/>
      <c r="N23" s="370"/>
      <c r="O23" s="370"/>
      <c r="P23" s="370"/>
    </row>
    <row r="24" spans="2:16" x14ac:dyDescent="0.35">
      <c r="B24" s="373"/>
      <c r="C24" s="373"/>
      <c r="D24" s="373"/>
      <c r="E24" s="373"/>
      <c r="J24" s="370"/>
      <c r="K24" s="370"/>
      <c r="L24" s="370"/>
      <c r="M24" s="370"/>
      <c r="N24" s="370"/>
      <c r="O24" s="370"/>
      <c r="P24" s="370"/>
    </row>
    <row r="25" spans="2:16" x14ac:dyDescent="0.35">
      <c r="B25" s="373"/>
      <c r="C25" s="373"/>
      <c r="D25" s="373"/>
      <c r="E25" s="373"/>
      <c r="J25" s="370"/>
      <c r="K25" s="370"/>
      <c r="L25" s="370"/>
      <c r="M25" s="370"/>
      <c r="N25" s="370"/>
      <c r="O25" s="370"/>
      <c r="P25" s="370"/>
    </row>
    <row r="26" spans="2:16" x14ac:dyDescent="0.35">
      <c r="B26" s="373"/>
      <c r="C26" s="373"/>
      <c r="D26" s="373"/>
      <c r="E26" s="373"/>
      <c r="J26" s="370"/>
      <c r="K26" s="370"/>
      <c r="L26" s="370"/>
      <c r="M26" s="370"/>
      <c r="N26" s="370"/>
      <c r="O26" s="370"/>
      <c r="P26" s="370"/>
    </row>
    <row r="27" spans="2:16" x14ac:dyDescent="0.35">
      <c r="B27" s="373"/>
      <c r="C27" s="373"/>
      <c r="D27" s="373"/>
      <c r="E27" s="373"/>
      <c r="J27" s="370"/>
      <c r="K27" s="370"/>
      <c r="L27" s="370"/>
      <c r="M27" s="370"/>
      <c r="N27" s="370"/>
      <c r="O27" s="370"/>
      <c r="P27" s="370"/>
    </row>
    <row r="28" spans="2:16" x14ac:dyDescent="0.35">
      <c r="J28" s="372"/>
      <c r="K28" s="372"/>
      <c r="L28" s="372"/>
      <c r="M28" s="372"/>
      <c r="N28" s="372"/>
      <c r="O28" s="372"/>
      <c r="P28" s="372"/>
    </row>
    <row r="29" spans="2:16" x14ac:dyDescent="0.35">
      <c r="I29" s="382"/>
      <c r="J29" s="382"/>
      <c r="K29" s="382"/>
      <c r="L29" s="382"/>
      <c r="M29" s="382"/>
      <c r="N29" s="382"/>
      <c r="O29" s="382"/>
      <c r="P29" s="382"/>
    </row>
    <row r="30" spans="2:16" x14ac:dyDescent="0.35">
      <c r="B30" s="374" t="s">
        <v>463</v>
      </c>
      <c r="C30" s="383"/>
      <c r="D30" s="383"/>
      <c r="E30" s="383"/>
      <c r="F30" s="383"/>
      <c r="G30" s="383"/>
      <c r="H30" s="383"/>
      <c r="I30" s="383"/>
      <c r="J30" s="383"/>
      <c r="K30" s="383"/>
      <c r="L30" s="383"/>
      <c r="M30" s="383"/>
      <c r="N30" s="383"/>
      <c r="O30" s="383"/>
      <c r="P30" s="383"/>
    </row>
    <row r="31" spans="2:16" ht="15" thickBot="1" x14ac:dyDescent="0.4">
      <c r="B31" s="384"/>
      <c r="C31" s="384"/>
      <c r="D31" s="384"/>
      <c r="E31" s="384"/>
      <c r="F31" s="384"/>
      <c r="G31" s="384"/>
      <c r="H31" s="384"/>
      <c r="I31" s="384"/>
      <c r="J31" s="384"/>
      <c r="K31" s="384"/>
      <c r="L31" s="384"/>
      <c r="M31" s="384"/>
      <c r="N31" s="384"/>
      <c r="O31" s="384"/>
      <c r="P31" s="384"/>
    </row>
    <row r="32" spans="2:16" ht="15" thickTop="1" x14ac:dyDescent="0.35">
      <c r="B32" s="385" t="s">
        <v>474</v>
      </c>
      <c r="C32" s="246"/>
      <c r="D32" s="246"/>
      <c r="E32" s="246"/>
      <c r="F32" s="246"/>
      <c r="G32" s="246"/>
      <c r="H32" s="246"/>
      <c r="I32" s="246"/>
      <c r="J32" s="246"/>
      <c r="K32" s="246"/>
      <c r="L32" s="246"/>
      <c r="M32" s="246"/>
      <c r="N32" s="246"/>
      <c r="O32" s="246"/>
      <c r="P32" s="246"/>
    </row>
    <row r="33" spans="2:16" x14ac:dyDescent="0.35">
      <c r="B33" s="246" t="s">
        <v>475</v>
      </c>
      <c r="C33" s="246"/>
      <c r="D33" s="246"/>
      <c r="E33" s="246"/>
      <c r="F33" s="246"/>
      <c r="G33" s="246"/>
      <c r="H33" s="246"/>
      <c r="I33" s="246"/>
      <c r="J33" s="246"/>
      <c r="K33" s="246"/>
      <c r="L33" s="246"/>
      <c r="M33" s="246"/>
      <c r="N33" s="246"/>
      <c r="O33" s="246"/>
      <c r="P33" s="246"/>
    </row>
    <row r="34" spans="2:16" x14ac:dyDescent="0.35">
      <c r="B34" s="246" t="s">
        <v>476</v>
      </c>
      <c r="C34" s="246"/>
      <c r="D34" s="246"/>
      <c r="E34" s="246"/>
      <c r="F34" s="246"/>
      <c r="G34" s="246"/>
      <c r="H34" s="246"/>
      <c r="I34" s="246"/>
      <c r="J34" s="246"/>
      <c r="K34" s="246"/>
      <c r="L34" s="246"/>
      <c r="M34" s="246"/>
      <c r="N34" s="246"/>
      <c r="O34" s="246"/>
      <c r="P34" s="246"/>
    </row>
    <row r="35" spans="2:16" x14ac:dyDescent="0.35">
      <c r="B35" s="246" t="s">
        <v>477</v>
      </c>
      <c r="C35" s="246"/>
      <c r="D35" s="246"/>
      <c r="E35" s="246"/>
      <c r="F35" s="246"/>
      <c r="G35" s="246"/>
      <c r="H35" s="246"/>
      <c r="I35" s="246"/>
      <c r="J35" s="246"/>
      <c r="K35" s="246"/>
      <c r="L35" s="246"/>
      <c r="M35" s="246"/>
      <c r="N35" s="246"/>
      <c r="O35" s="246"/>
      <c r="P35" s="246"/>
    </row>
  </sheetData>
  <mergeCells count="7">
    <mergeCell ref="B30:P31"/>
    <mergeCell ref="B1:P2"/>
    <mergeCell ref="H3:P9"/>
    <mergeCell ref="B11:H12"/>
    <mergeCell ref="J11:P12"/>
    <mergeCell ref="J13:P28"/>
    <mergeCell ref="B17:E20"/>
  </mergeCells>
  <pageMargins left="0.7" right="0.7" top="0.75" bottom="0.75" header="0.3" footer="0.3"/>
  <pageSetup scale="8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C527-3F26-4D7E-BAB4-0E9B739319CD}">
  <sheetPr>
    <pageSetUpPr fitToPage="1"/>
  </sheetPr>
  <dimension ref="A1:N33"/>
  <sheetViews>
    <sheetView showGridLines="0" topLeftCell="A28" workbookViewId="0">
      <selection activeCell="C30" sqref="C30"/>
    </sheetView>
  </sheetViews>
  <sheetFormatPr defaultColWidth="8.90625" defaultRowHeight="14.5" x14ac:dyDescent="0.35"/>
  <cols>
    <col min="1" max="1" width="1.90625" style="342" customWidth="1"/>
    <col min="2" max="2" width="32.36328125" style="342" bestFit="1" customWidth="1"/>
    <col min="3" max="3" width="8.90625" style="342"/>
    <col min="4" max="6" width="13.1796875" style="342" bestFit="1" customWidth="1"/>
    <col min="7" max="7" width="11.81640625" style="342" bestFit="1" customWidth="1"/>
    <col min="8" max="8" width="2.81640625" style="342" customWidth="1"/>
    <col min="9" max="9" width="13.54296875" style="342" bestFit="1" customWidth="1"/>
    <col min="10" max="10" width="2.81640625" style="342" customWidth="1"/>
    <col min="11" max="14" width="8.90625" style="342"/>
    <col min="15" max="16384" width="8.90625" style="167"/>
  </cols>
  <sheetData>
    <row r="1" spans="2:14" x14ac:dyDescent="0.35">
      <c r="B1" s="343" t="s">
        <v>478</v>
      </c>
      <c r="C1" s="343"/>
      <c r="D1" s="343"/>
      <c r="E1" s="343"/>
      <c r="F1" s="343"/>
      <c r="G1" s="343"/>
      <c r="H1" s="343"/>
      <c r="I1" s="343"/>
      <c r="J1" s="343"/>
      <c r="K1" s="343"/>
      <c r="L1" s="343"/>
      <c r="M1" s="343"/>
      <c r="N1" s="343"/>
    </row>
    <row r="2" spans="2:14" ht="15" thickBot="1" x14ac:dyDescent="0.4">
      <c r="B2" s="344"/>
      <c r="C2" s="344"/>
      <c r="D2" s="344"/>
      <c r="E2" s="344"/>
      <c r="F2" s="344"/>
      <c r="G2" s="344"/>
      <c r="H2" s="344"/>
      <c r="I2" s="344"/>
      <c r="J2" s="344"/>
      <c r="K2" s="344"/>
      <c r="L2" s="344"/>
      <c r="M2" s="344"/>
      <c r="N2" s="344"/>
    </row>
    <row r="3" spans="2:14" ht="15" thickTop="1" x14ac:dyDescent="0.35">
      <c r="B3" s="342" t="s">
        <v>479</v>
      </c>
    </row>
    <row r="4" spans="2:14" s="168" customFormat="1" ht="16" thickBot="1" x14ac:dyDescent="0.4">
      <c r="B4" s="345" t="s">
        <v>480</v>
      </c>
      <c r="C4" s="345"/>
      <c r="D4" s="346">
        <v>45016</v>
      </c>
      <c r="E4" s="346">
        <v>45382</v>
      </c>
      <c r="F4" s="346">
        <v>45747</v>
      </c>
      <c r="G4" s="346">
        <v>46112</v>
      </c>
      <c r="H4" s="347"/>
      <c r="I4" s="348" t="s">
        <v>481</v>
      </c>
      <c r="K4" s="349" t="s">
        <v>482</v>
      </c>
      <c r="L4" s="349"/>
      <c r="M4" s="349"/>
      <c r="N4" s="349"/>
    </row>
    <row r="5" spans="2:14" ht="15" thickTop="1" x14ac:dyDescent="0.35">
      <c r="B5" s="350" t="s">
        <v>483</v>
      </c>
      <c r="C5" s="350"/>
      <c r="D5" s="351">
        <f>'Forecasted Income Statement '!D5</f>
        <v>206922.86000000002</v>
      </c>
      <c r="E5" s="351">
        <f>'Forecasted Income Statement '!E5</f>
        <v>229170.78</v>
      </c>
      <c r="F5" s="351">
        <f>'Forecasted Income Statement '!F5</f>
        <v>218543</v>
      </c>
      <c r="G5" s="351">
        <f>'Forecasted Income Statement '!G5</f>
        <v>232140</v>
      </c>
      <c r="H5" s="352"/>
    </row>
    <row r="6" spans="2:14" x14ac:dyDescent="0.35">
      <c r="B6" s="169" t="s">
        <v>484</v>
      </c>
      <c r="C6" s="353"/>
      <c r="D6" s="354">
        <f>D5/'Profit &amp; Loss'!G4-1</f>
        <v>-0.15181355962147269</v>
      </c>
      <c r="E6" s="354">
        <f>E5/D5-1</f>
        <v>0.10751794171025852</v>
      </c>
      <c r="F6" s="354">
        <f t="shared" ref="F6:G6" si="0">F5/E5-1</f>
        <v>-4.6374934884805152E-2</v>
      </c>
      <c r="G6" s="354">
        <f t="shared" si="0"/>
        <v>6.2216588955034124E-2</v>
      </c>
      <c r="H6" s="352"/>
    </row>
    <row r="7" spans="2:14" x14ac:dyDescent="0.35">
      <c r="B7" s="353" t="s">
        <v>485</v>
      </c>
      <c r="C7" s="353"/>
      <c r="D7" s="355">
        <f>'Forecasted Income Statement '!D10</f>
        <v>32383.427589999992</v>
      </c>
      <c r="E7" s="355">
        <f>'Forecasted Income Statement '!E10</f>
        <v>49913.395884000005</v>
      </c>
      <c r="F7" s="355">
        <f>'Forecasted Income Statement '!F10</f>
        <v>47292.705199999997</v>
      </c>
      <c r="G7" s="355">
        <f>'Forecasted Income Statement '!G10</f>
        <v>51186.869999999988</v>
      </c>
      <c r="J7" s="356"/>
    </row>
    <row r="8" spans="2:14" x14ac:dyDescent="0.35">
      <c r="B8" s="353" t="s">
        <v>486</v>
      </c>
      <c r="C8" s="353"/>
      <c r="D8" s="354">
        <f t="shared" ref="D8:G8" si="1">D7/D5</f>
        <v>0.15649999999999994</v>
      </c>
      <c r="E8" s="354">
        <f t="shared" si="1"/>
        <v>0.21780000000000002</v>
      </c>
      <c r="F8" s="354">
        <f t="shared" si="1"/>
        <v>0.21639999999999998</v>
      </c>
      <c r="G8" s="354">
        <f t="shared" si="1"/>
        <v>0.22049999999999995</v>
      </c>
    </row>
    <row r="9" spans="2:14" x14ac:dyDescent="0.35">
      <c r="B9" s="353" t="s">
        <v>109</v>
      </c>
      <c r="C9" s="353"/>
      <c r="D9" s="355">
        <f>'Forecasted Income Statement '!D12</f>
        <v>23048.227589999991</v>
      </c>
      <c r="E9" s="355">
        <f>'Forecasted Income Statement '!E12</f>
        <v>40031.235884000009</v>
      </c>
      <c r="F9" s="355">
        <f>'Forecasted Income Statement '!F12</f>
        <v>36871.375199999995</v>
      </c>
      <c r="G9" s="355">
        <f>'Forecasted Income Statement '!G12</f>
        <v>39232.359999999986</v>
      </c>
    </row>
    <row r="10" spans="2:14" x14ac:dyDescent="0.35">
      <c r="B10" s="353" t="s">
        <v>487</v>
      </c>
      <c r="C10" s="353"/>
      <c r="D10" s="354">
        <f t="shared" ref="D10:G10" si="2">D9/D5</f>
        <v>0.11138560326297438</v>
      </c>
      <c r="E10" s="354">
        <f t="shared" si="2"/>
        <v>0.1746786212622744</v>
      </c>
      <c r="F10" s="354">
        <f t="shared" si="2"/>
        <v>0.16871451018792638</v>
      </c>
      <c r="G10" s="354">
        <f t="shared" si="2"/>
        <v>0.16900301542172821</v>
      </c>
    </row>
    <row r="11" spans="2:14" x14ac:dyDescent="0.35">
      <c r="B11" s="353" t="s">
        <v>488</v>
      </c>
      <c r="C11" s="353"/>
      <c r="D11" s="355">
        <f>'Forecasted Income Statement '!D16</f>
        <v>11724.669312999995</v>
      </c>
      <c r="E11" s="355">
        <f>'Forecasted Income Statement '!E16</f>
        <v>22766.566118800009</v>
      </c>
      <c r="F11" s="355">
        <f>'Forecasted Income Statement '!F16</f>
        <v>20671.297639999997</v>
      </c>
      <c r="G11" s="355">
        <f>'Forecasted Income Statement '!G16</f>
        <v>22445.709999999992</v>
      </c>
    </row>
    <row r="12" spans="2:14" x14ac:dyDescent="0.35">
      <c r="B12" s="353" t="s">
        <v>489</v>
      </c>
      <c r="C12" s="353"/>
      <c r="D12" s="354">
        <f t="shared" ref="D12:G12" si="3">D11/D5</f>
        <v>5.6662030057964566E-2</v>
      </c>
      <c r="E12" s="354">
        <f t="shared" si="3"/>
        <v>9.9343232670412909E-2</v>
      </c>
      <c r="F12" s="354">
        <f t="shared" si="3"/>
        <v>9.4586866840850534E-2</v>
      </c>
      <c r="G12" s="354">
        <f t="shared" si="3"/>
        <v>9.6690402343413417E-2</v>
      </c>
    </row>
    <row r="13" spans="2:14" x14ac:dyDescent="0.35">
      <c r="B13" s="353" t="s">
        <v>490</v>
      </c>
      <c r="C13" s="353"/>
      <c r="D13" s="357">
        <v>7.17</v>
      </c>
      <c r="E13" s="357">
        <v>-3.5546441302519325</v>
      </c>
      <c r="F13" s="357">
        <v>2.7400248327792691</v>
      </c>
      <c r="G13" s="357">
        <v>8.6465093923979666</v>
      </c>
    </row>
    <row r="14" spans="2:14" x14ac:dyDescent="0.35">
      <c r="B14" s="169" t="s">
        <v>491</v>
      </c>
      <c r="C14" s="353"/>
      <c r="D14" s="354">
        <f>D13/'Profit &amp; Loss'!G13-1</f>
        <v>-0.78192119675458915</v>
      </c>
      <c r="E14" s="354">
        <f>E13/D13-1</f>
        <v>-1.4957662664228637</v>
      </c>
      <c r="F14" s="354">
        <f t="shared" ref="F14:G14" si="4">F13/E13-1</f>
        <v>-1.7708295774140046</v>
      </c>
      <c r="G14" s="354">
        <f t="shared" si="4"/>
        <v>2.1556317625149464</v>
      </c>
    </row>
    <row r="15" spans="2:14" x14ac:dyDescent="0.35">
      <c r="B15" s="170"/>
    </row>
    <row r="16" spans="2:14" s="168" customFormat="1" ht="16" thickBot="1" x14ac:dyDescent="0.4">
      <c r="B16" s="345" t="s">
        <v>492</v>
      </c>
      <c r="C16" s="345"/>
      <c r="D16" s="346">
        <v>45016</v>
      </c>
      <c r="E16" s="346">
        <v>45382</v>
      </c>
      <c r="F16" s="346">
        <v>45747</v>
      </c>
      <c r="G16" s="346">
        <v>46112</v>
      </c>
      <c r="I16" s="348" t="s">
        <v>481</v>
      </c>
    </row>
    <row r="17" spans="2:14" ht="15" thickTop="1" x14ac:dyDescent="0.35">
      <c r="B17" s="350" t="s">
        <v>493</v>
      </c>
      <c r="C17" s="350"/>
      <c r="D17" s="358">
        <f>'Ratio Analysis '!D52</f>
        <v>0.82354792927191045</v>
      </c>
      <c r="E17" s="358">
        <f>'Ratio Analysis '!E52</f>
        <v>0.946177007719608</v>
      </c>
      <c r="F17" s="358">
        <f>'Ratio Analysis '!F52</f>
        <v>1.0398314658071992</v>
      </c>
      <c r="G17" s="358">
        <f>'Ratio Analysis '!G52</f>
        <v>0.90421654995490242</v>
      </c>
    </row>
    <row r="18" spans="2:14" x14ac:dyDescent="0.35">
      <c r="B18" s="353" t="s">
        <v>494</v>
      </c>
      <c r="C18" s="353"/>
      <c r="D18" s="358">
        <f>'Ratio Analysis '!D53</f>
        <v>3.895060885579567</v>
      </c>
      <c r="E18" s="358">
        <f>'Ratio Analysis '!E53</f>
        <v>0.84721554377781394</v>
      </c>
      <c r="F18" s="358">
        <f>'Ratio Analysis '!F53</f>
        <v>2.1460192481899472</v>
      </c>
      <c r="G18" s="358">
        <f>'Ratio Analysis '!G53</f>
        <v>3.2280670177171675</v>
      </c>
    </row>
    <row r="19" spans="2:14" x14ac:dyDescent="0.35">
      <c r="B19" s="353" t="s">
        <v>495</v>
      </c>
      <c r="C19" s="353"/>
      <c r="D19" s="354">
        <f>'Ratio Analysis '!D22</f>
        <v>7.8339013271945535E-2</v>
      </c>
      <c r="E19" s="354">
        <f>'Ratio Analysis '!E22</f>
        <v>-5.3344591276260407E-2</v>
      </c>
      <c r="F19" s="354">
        <f>'Ratio Analysis '!F22</f>
        <v>3.4811811784253063E-2</v>
      </c>
      <c r="G19" s="354">
        <f>'Ratio Analysis '!G22</f>
        <v>0.10654859928754358</v>
      </c>
    </row>
    <row r="20" spans="2:14" x14ac:dyDescent="0.35">
      <c r="B20" s="353" t="s">
        <v>496</v>
      </c>
      <c r="C20" s="353"/>
      <c r="D20" s="354">
        <f>'Ratio Analysis '!D23</f>
        <v>0.13051629430805095</v>
      </c>
      <c r="E20" s="354">
        <f>'Ratio Analysis '!E23</f>
        <v>3.5510301930773203E-2</v>
      </c>
      <c r="F20" s="354">
        <f>'Ratio Analysis '!F23</f>
        <v>8.4711310406565141E-2</v>
      </c>
      <c r="G20" s="354">
        <f>'Ratio Analysis '!G23</f>
        <v>0.11891971049193539</v>
      </c>
    </row>
    <row r="21" spans="2:14" x14ac:dyDescent="0.35">
      <c r="B21" s="353" t="s">
        <v>429</v>
      </c>
      <c r="C21" s="353"/>
      <c r="D21" s="354">
        <f>'Ratio Analysis '!D21</f>
        <v>2.8443472457565427E-2</v>
      </c>
      <c r="E21" s="354">
        <f>'Ratio Analysis '!E21</f>
        <v>-1.7701595181033911E-2</v>
      </c>
      <c r="F21" s="354">
        <f>'Ratio Analysis '!F21</f>
        <v>1.1651794974402057E-2</v>
      </c>
      <c r="G21" s="354">
        <f>'Ratio Analysis '!G21</f>
        <v>3.8064091114758537E-2</v>
      </c>
    </row>
    <row r="23" spans="2:14" ht="16" thickBot="1" x14ac:dyDescent="0.4">
      <c r="B23" s="348" t="s">
        <v>497</v>
      </c>
      <c r="C23" s="348"/>
      <c r="D23" s="348" t="s">
        <v>159</v>
      </c>
      <c r="E23" s="348" t="s">
        <v>500</v>
      </c>
      <c r="F23" s="359" t="s">
        <v>501</v>
      </c>
      <c r="G23" s="359" t="s">
        <v>464</v>
      </c>
      <c r="I23" s="360" t="s">
        <v>497</v>
      </c>
      <c r="J23" s="360"/>
      <c r="K23" s="360"/>
      <c r="L23" s="360"/>
      <c r="M23" s="360"/>
      <c r="N23" s="360"/>
    </row>
    <row r="24" spans="2:14" ht="15" thickTop="1" x14ac:dyDescent="0.35">
      <c r="B24" s="361" t="s">
        <v>236</v>
      </c>
      <c r="C24" s="361"/>
      <c r="D24" s="362">
        <v>189687</v>
      </c>
      <c r="E24" s="362">
        <v>110810</v>
      </c>
      <c r="F24" s="362">
        <v>62412</v>
      </c>
      <c r="G24" s="362">
        <f>G5</f>
        <v>232140</v>
      </c>
      <c r="I24" s="363"/>
      <c r="J24" s="363"/>
      <c r="K24" s="363"/>
      <c r="L24" s="363"/>
      <c r="M24" s="363"/>
      <c r="N24" s="363"/>
    </row>
    <row r="25" spans="2:14" x14ac:dyDescent="0.35">
      <c r="B25" s="353" t="s">
        <v>498</v>
      </c>
      <c r="C25" s="353"/>
      <c r="D25" s="364">
        <f>30712/D24</f>
        <v>0.16190882875473808</v>
      </c>
      <c r="E25" s="364">
        <f>13146/E24</f>
        <v>0.11863550221099178</v>
      </c>
      <c r="F25" s="364">
        <f>9099/F24</f>
        <v>0.14578927129398192</v>
      </c>
      <c r="G25" s="364">
        <f>G8</f>
        <v>0.22049999999999995</v>
      </c>
      <c r="I25" s="363"/>
      <c r="J25" s="363"/>
      <c r="K25" s="363"/>
      <c r="L25" s="363"/>
      <c r="M25" s="363"/>
      <c r="N25" s="363"/>
    </row>
    <row r="26" spans="2:14" x14ac:dyDescent="0.35">
      <c r="B26" s="353" t="s">
        <v>488</v>
      </c>
      <c r="C26" s="353"/>
      <c r="D26" s="355">
        <v>12040</v>
      </c>
      <c r="E26" s="365">
        <v>3233</v>
      </c>
      <c r="F26" s="365">
        <v>3361</v>
      </c>
      <c r="G26" s="355">
        <f>G11</f>
        <v>22445.709999999992</v>
      </c>
      <c r="I26" s="363"/>
      <c r="J26" s="363"/>
      <c r="K26" s="363"/>
      <c r="L26" s="363"/>
      <c r="M26" s="363"/>
      <c r="N26" s="363"/>
    </row>
    <row r="27" spans="2:14" x14ac:dyDescent="0.35">
      <c r="B27" s="353" t="s">
        <v>499</v>
      </c>
      <c r="C27" s="353"/>
      <c r="D27" s="364">
        <f>D26/D24</f>
        <v>6.3472984442792604E-2</v>
      </c>
      <c r="E27" s="364">
        <f t="shared" ref="E27:F27" si="5">E26/E24</f>
        <v>2.9176067141954698E-2</v>
      </c>
      <c r="F27" s="364">
        <f t="shared" si="5"/>
        <v>5.3851823367301162E-2</v>
      </c>
      <c r="G27" s="364">
        <f>G12</f>
        <v>9.6690402343413417E-2</v>
      </c>
      <c r="I27" s="363"/>
      <c r="J27" s="363"/>
      <c r="K27" s="363"/>
      <c r="L27" s="363"/>
      <c r="M27" s="363"/>
      <c r="N27" s="363"/>
    </row>
    <row r="28" spans="2:14" x14ac:dyDescent="0.35">
      <c r="I28" s="363"/>
      <c r="J28" s="363"/>
      <c r="K28" s="363"/>
      <c r="L28" s="363"/>
      <c r="M28" s="363"/>
      <c r="N28" s="363"/>
    </row>
    <row r="29" spans="2:14" x14ac:dyDescent="0.35">
      <c r="I29" s="363"/>
      <c r="J29" s="363"/>
      <c r="K29" s="363"/>
      <c r="L29" s="363"/>
      <c r="M29" s="363"/>
      <c r="N29" s="363"/>
    </row>
    <row r="30" spans="2:14" x14ac:dyDescent="0.35">
      <c r="I30" s="363"/>
      <c r="J30" s="363"/>
      <c r="K30" s="363"/>
      <c r="L30" s="363"/>
      <c r="M30" s="363"/>
      <c r="N30" s="363"/>
    </row>
    <row r="31" spans="2:14" x14ac:dyDescent="0.35">
      <c r="I31" s="363"/>
      <c r="J31" s="363"/>
      <c r="K31" s="363"/>
      <c r="L31" s="363"/>
      <c r="M31" s="363"/>
      <c r="N31" s="363"/>
    </row>
    <row r="32" spans="2:14" x14ac:dyDescent="0.35">
      <c r="I32" s="363"/>
      <c r="J32" s="363"/>
      <c r="K32" s="363"/>
      <c r="L32" s="363"/>
      <c r="M32" s="363"/>
      <c r="N32" s="363"/>
    </row>
    <row r="33" spans="2:14" x14ac:dyDescent="0.35">
      <c r="B33" s="366"/>
      <c r="C33" s="366"/>
      <c r="D33" s="366"/>
      <c r="E33" s="366"/>
      <c r="F33" s="366"/>
      <c r="G33" s="366"/>
      <c r="H33" s="366"/>
      <c r="I33" s="367"/>
      <c r="J33" s="367"/>
      <c r="K33" s="367"/>
      <c r="L33" s="367"/>
      <c r="M33" s="367"/>
      <c r="N33" s="367"/>
    </row>
  </sheetData>
  <mergeCells count="3">
    <mergeCell ref="B1:N2"/>
    <mergeCell ref="K4:N4"/>
    <mergeCell ref="I23:N23"/>
  </mergeCells>
  <conditionalFormatting sqref="D24:G24">
    <cfRule type="cellIs" priority="1" operator="greaterThan">
      <formula>44873</formula>
    </cfRule>
  </conditionalFormatting>
  <pageMargins left="0.7" right="0.7" top="0.75" bottom="0.75" header="0.3" footer="0.3"/>
  <pageSetup scale="77" orientation="landscape" r:id="rId1"/>
  <drawing r:id="rId2"/>
  <extLst>
    <ext xmlns:x14="http://schemas.microsoft.com/office/spreadsheetml/2009/9/main" uri="{05C60535-1F16-4fd2-B633-F4F36F0B64E0}">
      <x14:sparklineGroups xmlns:xm="http://schemas.microsoft.com/office/excel/2006/main">
        <x14:sparklineGroup displayEmptyCellsAs="gap" markers="1" high="1" xr2:uid="{35660293-55A5-4E81-BF77-0976A8721B5D}">
          <x14:colorSeries rgb="FF376092"/>
          <x14:colorNegative rgb="FFD00000"/>
          <x14:colorAxis rgb="FF000000"/>
          <x14:colorMarkers rgb="FFD00000"/>
          <x14:colorFirst rgb="FFD00000"/>
          <x14:colorLast rgb="FFD00000"/>
          <x14:colorHigh rgb="FFD00000"/>
          <x14:colorLow rgb="FFD00000"/>
          <x14:sparklines>
            <x14:sparkline>
              <xm:f>'Key Financial Metric '!D14:G14</xm:f>
              <xm:sqref>I14</xm:sqref>
            </x14:sparkline>
          </x14:sparklines>
        </x14:sparklineGroup>
        <x14:sparklineGroup displayEmptyCellsAs="gap" markers="1" high="1" xr2:uid="{69FF9421-9D14-4543-B4F1-0E53A795A299}">
          <x14:colorSeries rgb="FF376092"/>
          <x14:colorNegative rgb="FFD00000"/>
          <x14:colorAxis rgb="FF000000"/>
          <x14:colorMarkers rgb="FFD00000"/>
          <x14:colorFirst rgb="FFD00000"/>
          <x14:colorLast rgb="FFD00000"/>
          <x14:colorHigh rgb="FFD00000"/>
          <x14:colorLow rgb="FFD00000"/>
          <x14:sparklines>
            <x14:sparkline>
              <xm:f>'Key Financial Metric '!D6:G6</xm:f>
              <xm:sqref>I6</xm:sqref>
            </x14:sparkline>
          </x14:sparklines>
        </x14:sparklineGroup>
        <x14:sparklineGroup displayEmptyCellsAs="gap" markers="1" high="1" xr2:uid="{FBEC470D-3963-41CD-B634-817438E42953}">
          <x14:colorSeries rgb="FF376092"/>
          <x14:colorNegative rgb="FFD00000"/>
          <x14:colorAxis rgb="FF000000"/>
          <x14:colorMarkers rgb="FFD00000"/>
          <x14:colorFirst rgb="FFD00000"/>
          <x14:colorLast rgb="FFD00000"/>
          <x14:colorHigh rgb="FFD00000"/>
          <x14:colorLow rgb="FFD00000"/>
          <x14:sparklines>
            <x14:sparkline>
              <xm:f>'Key Financial Metric '!D12:G12</xm:f>
              <xm:sqref>I12</xm:sqref>
            </x14:sparkline>
          </x14:sparklines>
        </x14:sparklineGroup>
        <x14:sparklineGroup displayEmptyCellsAs="gap" markers="1" high="1" xr2:uid="{81E75F70-80A8-48C9-AB8B-03B392DC89D8}">
          <x14:colorSeries rgb="FF376092"/>
          <x14:colorNegative rgb="FFD00000"/>
          <x14:colorAxis rgb="FF000000"/>
          <x14:colorMarkers rgb="FFD00000"/>
          <x14:colorFirst rgb="FFD00000"/>
          <x14:colorLast rgb="FFD00000"/>
          <x14:colorHigh rgb="FFD00000"/>
          <x14:colorLow rgb="FFD00000"/>
          <x14:sparklines>
            <x14:sparkline>
              <xm:f>'Key Financial Metric '!D8:G8</xm:f>
              <xm:sqref>I8</xm:sqref>
            </x14:sparkline>
          </x14:sparklines>
        </x14:sparklineGroup>
        <x14:sparklineGroup displayEmptyCellsAs="gap" markers="1" high="1" xr2:uid="{FDCE6395-4233-45AD-BC2D-F05953A5D576}">
          <x14:colorSeries rgb="FF376092"/>
          <x14:colorNegative rgb="FFD00000"/>
          <x14:colorAxis rgb="FF000000"/>
          <x14:colorMarkers rgb="FFD00000"/>
          <x14:colorFirst rgb="FFD00000"/>
          <x14:colorLast rgb="FFD00000"/>
          <x14:colorHigh rgb="FFD00000"/>
          <x14:colorLow rgb="FFD00000"/>
          <x14:sparklines>
            <x14:sparkline>
              <xm:f>'Key Financial Metric '!D10:G10</xm:f>
              <xm:sqref>I10</xm:sqref>
            </x14:sparkline>
          </x14:sparklines>
        </x14:sparklineGroup>
        <x14:sparklineGroup displayEmptyCellsAs="gap" markers="1" xr2:uid="{E10FCB83-AE4F-4967-8B47-FF172FF84670}">
          <x14:colorSeries rgb="FF376092"/>
          <x14:colorNegative rgb="FFD00000"/>
          <x14:colorAxis rgb="FF000000"/>
          <x14:colorMarkers rgb="FFD00000"/>
          <x14:colorFirst rgb="FFD00000"/>
          <x14:colorLast rgb="FFD00000"/>
          <x14:colorHigh rgb="FFD00000"/>
          <x14:colorLow rgb="FFD00000"/>
          <x14:sparklines>
            <x14:sparkline>
              <xm:f>'Key Financial Metric '!D18:G18</xm:f>
              <xm:sqref>I18</xm:sqref>
            </x14:sparkline>
          </x14:sparklines>
        </x14:sparklineGroup>
        <x14:sparklineGroup displayEmptyCellsAs="gap" markers="1" xr2:uid="{24AFF1A5-098F-46D3-A383-0BEBDF4D9279}">
          <x14:colorSeries rgb="FF376092"/>
          <x14:colorNegative rgb="FFD00000"/>
          <x14:colorAxis rgb="FF000000"/>
          <x14:colorMarkers rgb="FFD00000"/>
          <x14:colorFirst rgb="FFD00000"/>
          <x14:colorLast rgb="FFD00000"/>
          <x14:colorHigh rgb="FFD00000"/>
          <x14:colorLow rgb="FFD00000"/>
          <x14:sparklines>
            <x14:sparkline>
              <xm:f>'Key Financial Metric '!D21:G21</xm:f>
              <xm:sqref>I21</xm:sqref>
            </x14:sparkline>
          </x14:sparklines>
        </x14:sparklineGroup>
        <x14:sparklineGroup displayEmptyCellsAs="gap" markers="1" xr2:uid="{A5071F7F-05E4-46FA-B6D0-38A05A4CE8E5}">
          <x14:colorSeries rgb="FF376092"/>
          <x14:colorNegative rgb="FFD00000"/>
          <x14:colorAxis rgb="FF000000"/>
          <x14:colorMarkers rgb="FFD00000"/>
          <x14:colorFirst rgb="FFD00000"/>
          <x14:colorLast rgb="FFD00000"/>
          <x14:colorHigh rgb="FFD00000"/>
          <x14:colorLow rgb="FFD00000"/>
          <x14:sparklines>
            <x14:sparkline>
              <xm:f>'Key Financial Metric '!D20:G20</xm:f>
              <xm:sqref>I20</xm:sqref>
            </x14:sparkline>
          </x14:sparklines>
        </x14:sparklineGroup>
        <x14:sparklineGroup displayEmptyCellsAs="gap" markers="1" xr2:uid="{0AAC87B5-DBDB-4BE3-A972-7090CE03F413}">
          <x14:colorSeries rgb="FF376092"/>
          <x14:colorNegative rgb="FFD00000"/>
          <x14:colorAxis rgb="FF000000"/>
          <x14:colorMarkers rgb="FFD00000"/>
          <x14:colorFirst rgb="FFD00000"/>
          <x14:colorLast rgb="FFD00000"/>
          <x14:colorHigh rgb="FFD00000"/>
          <x14:colorLow rgb="FFD00000"/>
          <x14:sparklines>
            <x14:sparkline>
              <xm:f>'Key Financial Metric '!D19:G19</xm:f>
              <xm:sqref>I19</xm:sqref>
            </x14:sparkline>
          </x14:sparklines>
        </x14:sparklineGroup>
        <x14:sparklineGroup displayEmptyCellsAs="gap" markers="1" xr2:uid="{B2F71B35-EBC6-417B-B53F-6D99704C900A}">
          <x14:colorSeries rgb="FF376092"/>
          <x14:colorNegative rgb="FFD00000"/>
          <x14:colorAxis rgb="FF000000"/>
          <x14:colorMarkers rgb="FFD00000"/>
          <x14:colorFirst rgb="FFD00000"/>
          <x14:colorLast rgb="FFD00000"/>
          <x14:colorHigh rgb="FFD00000"/>
          <x14:colorLow rgb="FFD00000"/>
          <x14:sparklines>
            <x14:sparkline>
              <xm:f>'Key Financial Metric '!D17:G17</xm:f>
              <xm:sqref>I17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E5C3-A37E-4AF0-B84F-5C9B3D6E721A}">
  <dimension ref="A1:J88"/>
  <sheetViews>
    <sheetView showGridLines="0" topLeftCell="A84" zoomScale="105" zoomScaleNormal="70" workbookViewId="0">
      <selection activeCell="A29" sqref="A29:XFD29"/>
    </sheetView>
  </sheetViews>
  <sheetFormatPr defaultColWidth="8.81640625" defaultRowHeight="14.5" x14ac:dyDescent="0.35"/>
  <cols>
    <col min="1" max="1" width="1.81640625" style="204" customWidth="1"/>
    <col min="2" max="2" width="35.81640625" style="204" customWidth="1"/>
    <col min="3" max="3" width="13" style="204" customWidth="1"/>
    <col min="4" max="4" width="13" style="204" bestFit="1" customWidth="1"/>
    <col min="5" max="8" width="12.36328125" style="204" bestFit="1" customWidth="1"/>
    <col min="9" max="9" width="8.81640625" style="204"/>
    <col min="10" max="10" width="10.90625" style="204" bestFit="1" customWidth="1"/>
    <col min="11" max="16384" width="8.81640625" style="204"/>
  </cols>
  <sheetData>
    <row r="1" spans="1:10" x14ac:dyDescent="0.35">
      <c r="B1" s="235" t="s">
        <v>572</v>
      </c>
      <c r="C1" s="235"/>
      <c r="D1" s="235"/>
      <c r="E1" s="235"/>
      <c r="F1" s="235"/>
      <c r="G1" s="235"/>
      <c r="H1" s="235"/>
    </row>
    <row r="2" spans="1:10" x14ac:dyDescent="0.35">
      <c r="B2" s="235"/>
      <c r="C2" s="235"/>
      <c r="D2" s="235"/>
      <c r="E2" s="235"/>
      <c r="F2" s="235"/>
      <c r="G2" s="235"/>
      <c r="H2" s="235"/>
    </row>
    <row r="4" spans="1:10" ht="16" thickBot="1" x14ac:dyDescent="0.4">
      <c r="B4" s="234" t="s">
        <v>95</v>
      </c>
      <c r="C4" s="234"/>
      <c r="D4" s="234"/>
      <c r="E4" s="234"/>
      <c r="F4" s="234"/>
      <c r="G4" s="234"/>
      <c r="H4" s="234"/>
    </row>
    <row r="5" spans="1:10" ht="15" thickTop="1" x14ac:dyDescent="0.35">
      <c r="B5" s="205" t="s">
        <v>480</v>
      </c>
      <c r="C5" s="206">
        <f>'[2]Data Sheet'!B56</f>
        <v>44286</v>
      </c>
      <c r="D5" s="206">
        <f>'[2]Data Sheet'!C56</f>
        <v>44651</v>
      </c>
      <c r="E5" s="206">
        <f>'[2]Data Sheet'!D56</f>
        <v>45016</v>
      </c>
      <c r="F5" s="206">
        <f>'[2]Data Sheet'!E56</f>
        <v>45382</v>
      </c>
      <c r="G5" s="206">
        <f>'[2]Data Sheet'!F56</f>
        <v>45747</v>
      </c>
      <c r="H5" s="206">
        <f>'[2]Data Sheet'!G56</f>
        <v>46112</v>
      </c>
    </row>
    <row r="6" spans="1:10" ht="4.25" customHeight="1" x14ac:dyDescent="0.35">
      <c r="B6" s="207"/>
      <c r="C6" s="208"/>
      <c r="D6" s="208"/>
      <c r="E6" s="208"/>
      <c r="F6" s="208"/>
      <c r="G6" s="208"/>
      <c r="H6" s="208"/>
    </row>
    <row r="7" spans="1:10" x14ac:dyDescent="0.35">
      <c r="A7" s="215"/>
      <c r="B7" s="215" t="s">
        <v>6</v>
      </c>
      <c r="C7" s="216">
        <f>'[2]Data Sheet'!B17</f>
        <v>156477.4</v>
      </c>
      <c r="D7" s="216">
        <f>'[2]Data Sheet'!C17</f>
        <v>243959.17</v>
      </c>
      <c r="E7" s="216">
        <f>'[2]Data Sheet'!D17</f>
        <v>243352.69</v>
      </c>
      <c r="F7" s="216">
        <f>'[2]Data Sheet'!E17</f>
        <v>229170.78</v>
      </c>
      <c r="G7" s="216">
        <f>'[2]Data Sheet'!F17</f>
        <v>218542.51</v>
      </c>
      <c r="H7" s="216">
        <f>'[2]Data Sheet'!G17</f>
        <v>232139.94</v>
      </c>
    </row>
    <row r="8" spans="1:10" ht="15" thickBot="1" x14ac:dyDescent="0.4">
      <c r="A8" s="215"/>
      <c r="B8" s="223" t="s">
        <v>245</v>
      </c>
      <c r="C8" s="224">
        <f>SUM('[2]Data Sheet'!B18,'[2]Data Sheet'!B20:B22)-1*'[2]Data Sheet'!B19</f>
        <v>102979.74</v>
      </c>
      <c r="D8" s="224">
        <f>SUM('[2]Data Sheet'!C18,'[2]Data Sheet'!C20:C22)-1*'[2]Data Sheet'!C19</f>
        <v>143605.19</v>
      </c>
      <c r="E8" s="224">
        <f>SUM('[2]Data Sheet'!D18,'[2]Data Sheet'!D20:D22)-1*'[2]Data Sheet'!D19</f>
        <v>178329.36</v>
      </c>
      <c r="F8" s="224">
        <f>SUM('[2]Data Sheet'!E18,'[2]Data Sheet'!E20:E22)-1*'[2]Data Sheet'!E19</f>
        <v>183154.84</v>
      </c>
      <c r="G8" s="224">
        <f>SUM('[2]Data Sheet'!F18,'[2]Data Sheet'!F20:F22)-1*'[2]Data Sheet'!F19</f>
        <v>171714.99000000002</v>
      </c>
      <c r="H8" s="224">
        <f>SUM('[2]Data Sheet'!G18,'[2]Data Sheet'!G20:G22)-1*'[2]Data Sheet'!G19</f>
        <v>171435.78</v>
      </c>
    </row>
    <row r="9" spans="1:10" ht="15" thickBot="1" x14ac:dyDescent="0.4">
      <c r="B9" s="225" t="s">
        <v>573</v>
      </c>
      <c r="C9" s="226">
        <f t="shared" ref="C9:H9" si="0">C7-C8</f>
        <v>53497.659999999989</v>
      </c>
      <c r="D9" s="226">
        <f t="shared" si="0"/>
        <v>100353.98000000001</v>
      </c>
      <c r="E9" s="226">
        <f t="shared" si="0"/>
        <v>65023.330000000016</v>
      </c>
      <c r="F9" s="226">
        <f t="shared" si="0"/>
        <v>46015.94</v>
      </c>
      <c r="G9" s="226">
        <f t="shared" si="0"/>
        <v>46827.51999999999</v>
      </c>
      <c r="H9" s="226">
        <f t="shared" si="0"/>
        <v>60704.160000000003</v>
      </c>
    </row>
    <row r="10" spans="1:10" ht="15.5" thickTop="1" thickBot="1" x14ac:dyDescent="0.4">
      <c r="B10" s="204" t="s">
        <v>574</v>
      </c>
      <c r="C10" s="210">
        <f>SUM('[2]Data Sheet'!B23:B24)</f>
        <v>22993.4</v>
      </c>
      <c r="D10" s="210">
        <f>SUM('[2]Data Sheet'!C23:C24)</f>
        <v>36864.03</v>
      </c>
      <c r="E10" s="210">
        <f>SUM('[2]Data Sheet'!D23:D24)</f>
        <v>32723.17</v>
      </c>
      <c r="F10" s="210">
        <f>SUM('[2]Data Sheet'!E23:E24)</f>
        <v>23768.02</v>
      </c>
      <c r="G10" s="210">
        <f>SUM('[2]Data Sheet'!F23:F24)</f>
        <v>21529.07</v>
      </c>
      <c r="H10" s="210">
        <f>SUM('[2]Data Sheet'!G23:G24)</f>
        <v>26351.72</v>
      </c>
    </row>
    <row r="11" spans="1:10" ht="15" thickBot="1" x14ac:dyDescent="0.4">
      <c r="B11" s="225" t="s">
        <v>324</v>
      </c>
      <c r="C11" s="226">
        <f t="shared" ref="C11:H11" si="1">C9-C10</f>
        <v>30504.259999999987</v>
      </c>
      <c r="D11" s="226">
        <f t="shared" si="1"/>
        <v>63489.950000000012</v>
      </c>
      <c r="E11" s="226">
        <f t="shared" si="1"/>
        <v>32300.160000000018</v>
      </c>
      <c r="F11" s="226">
        <f t="shared" si="1"/>
        <v>22247.920000000002</v>
      </c>
      <c r="G11" s="226">
        <f t="shared" si="1"/>
        <v>25298.44999999999</v>
      </c>
      <c r="H11" s="226">
        <f t="shared" si="1"/>
        <v>34352.44</v>
      </c>
    </row>
    <row r="12" spans="1:10" ht="15" thickTop="1" x14ac:dyDescent="0.35">
      <c r="B12" s="229" t="s">
        <v>11</v>
      </c>
      <c r="C12" s="232">
        <f>'[2]Data Sheet'!B27</f>
        <v>7606.71</v>
      </c>
      <c r="D12" s="232">
        <f>'[2]Data Sheet'!C27</f>
        <v>5462.2</v>
      </c>
      <c r="E12" s="232">
        <f>'[2]Data Sheet'!D27</f>
        <v>6298.7</v>
      </c>
      <c r="F12" s="232">
        <f>'[2]Data Sheet'!E27</f>
        <v>7507.57</v>
      </c>
      <c r="G12" s="232">
        <f>'[2]Data Sheet'!F27</f>
        <v>7340.95</v>
      </c>
      <c r="H12" s="232">
        <f>'[2]Data Sheet'!G27</f>
        <v>7167.06</v>
      </c>
      <c r="J12" s="210"/>
    </row>
    <row r="13" spans="1:10" x14ac:dyDescent="0.35">
      <c r="B13" s="215" t="s">
        <v>10</v>
      </c>
      <c r="C13" s="222">
        <f>'[2]Data Sheet'!B26</f>
        <v>9233.64</v>
      </c>
      <c r="D13" s="222">
        <f>'[2]Data Sheet'!C26</f>
        <v>9100.8700000000008</v>
      </c>
      <c r="E13" s="222">
        <f>'[2]Data Sheet'!D26</f>
        <v>9335.2000000000007</v>
      </c>
      <c r="F13" s="222">
        <f>'[2]Data Sheet'!E26</f>
        <v>9882.16</v>
      </c>
      <c r="G13" s="222">
        <f>'[2]Data Sheet'!F26</f>
        <v>10421.33</v>
      </c>
      <c r="H13" s="222">
        <f>'[2]Data Sheet'!G26</f>
        <v>11954.51</v>
      </c>
    </row>
    <row r="14" spans="1:10" ht="15" thickBot="1" x14ac:dyDescent="0.4">
      <c r="B14" s="217" t="s">
        <v>9</v>
      </c>
      <c r="C14" s="233">
        <f>'[2]Data Sheet'!B25</f>
        <v>179.78</v>
      </c>
      <c r="D14" s="233">
        <f>'[2]Data Sheet'!C25</f>
        <v>1299.99</v>
      </c>
      <c r="E14" s="233">
        <f>'[2]Data Sheet'!D25</f>
        <v>1568.86</v>
      </c>
      <c r="F14" s="233">
        <f>'[2]Data Sheet'!E25</f>
        <v>-6005.23</v>
      </c>
      <c r="G14" s="233">
        <f>'[2]Data Sheet'!F25</f>
        <v>876.7</v>
      </c>
      <c r="H14" s="233">
        <f>'[2]Data Sheet'!G25</f>
        <v>737.82</v>
      </c>
    </row>
    <row r="15" spans="1:10" ht="15" thickBot="1" x14ac:dyDescent="0.4">
      <c r="B15" s="225" t="s">
        <v>575</v>
      </c>
      <c r="C15" s="226">
        <f t="shared" ref="C15:H15" si="2">IFERROR(C11-SUM(C13,C12,-C14),0)</f>
        <v>13843.689999999988</v>
      </c>
      <c r="D15" s="226">
        <f t="shared" si="2"/>
        <v>50226.87000000001</v>
      </c>
      <c r="E15" s="226">
        <f t="shared" si="2"/>
        <v>18235.120000000017</v>
      </c>
      <c r="F15" s="226">
        <f t="shared" si="2"/>
        <v>-1147.0399999999972</v>
      </c>
      <c r="G15" s="226">
        <f t="shared" si="2"/>
        <v>8412.8699999999917</v>
      </c>
      <c r="H15" s="226">
        <f t="shared" si="2"/>
        <v>15968.690000000002</v>
      </c>
    </row>
    <row r="16" spans="1:10" ht="15.5" thickTop="1" thickBot="1" x14ac:dyDescent="0.4">
      <c r="B16" s="204" t="s">
        <v>13</v>
      </c>
      <c r="C16" s="209">
        <f>'[2]Data Sheet'!B29</f>
        <v>5653.9</v>
      </c>
      <c r="D16" s="209">
        <f>'[2]Data Sheet'!C29</f>
        <v>8477.5499999999993</v>
      </c>
      <c r="E16" s="209">
        <f>'[2]Data Sheet'!D29</f>
        <v>10159.77</v>
      </c>
      <c r="F16" s="209">
        <f>'[2]Data Sheet'!E29</f>
        <v>3762.57</v>
      </c>
      <c r="G16" s="209">
        <f>'[2]Data Sheet'!F29</f>
        <v>5239.09</v>
      </c>
      <c r="H16" s="209">
        <f>'[2]Data Sheet'!G29</f>
        <v>5082.87</v>
      </c>
    </row>
    <row r="17" spans="1:8" ht="15" thickBot="1" x14ac:dyDescent="0.4">
      <c r="B17" s="225" t="s">
        <v>576</v>
      </c>
      <c r="C17" s="227">
        <f t="shared" ref="C17:H17" si="3">IFERROR(C15-C16,0)</f>
        <v>8189.7899999999881</v>
      </c>
      <c r="D17" s="227">
        <f t="shared" si="3"/>
        <v>41749.320000000007</v>
      </c>
      <c r="E17" s="227">
        <f t="shared" si="3"/>
        <v>8075.3500000000167</v>
      </c>
      <c r="F17" s="227">
        <f t="shared" si="3"/>
        <v>-4909.6099999999969</v>
      </c>
      <c r="G17" s="227">
        <f t="shared" si="3"/>
        <v>3173.7799999999916</v>
      </c>
      <c r="H17" s="227">
        <f t="shared" si="3"/>
        <v>10885.820000000003</v>
      </c>
    </row>
    <row r="18" spans="1:8" ht="15" thickTop="1" x14ac:dyDescent="0.35">
      <c r="B18" s="229" t="s">
        <v>577</v>
      </c>
      <c r="C18" s="166">
        <f>'[2]Data Sheet'!B127</f>
        <v>1196.5899999999999</v>
      </c>
      <c r="D18" s="166">
        <f>'[2]Data Sheet'!C127</f>
        <v>1221.3</v>
      </c>
      <c r="E18" s="166">
        <f>'[2]Data Sheet'!D127</f>
        <v>1222.1500000000001</v>
      </c>
      <c r="F18" s="166">
        <f>'[2]Data Sheet'!E127</f>
        <v>1248.3499999999999</v>
      </c>
      <c r="G18" s="166">
        <f>'[2]Data Sheet'!F127</f>
        <v>1248.3499999999999</v>
      </c>
      <c r="H18" s="166">
        <f>'[2]Data Sheet'!G127</f>
        <v>1248.3499999999999</v>
      </c>
    </row>
    <row r="19" spans="1:8" x14ac:dyDescent="0.35">
      <c r="B19" s="215" t="s">
        <v>578</v>
      </c>
      <c r="C19" s="222">
        <f t="shared" ref="C19:H19" si="4">IFERROR(C17/C18,0)</f>
        <v>6.844274145697347</v>
      </c>
      <c r="D19" s="222">
        <f t="shared" si="4"/>
        <v>34.184328174895612</v>
      </c>
      <c r="E19" s="222">
        <f t="shared" si="4"/>
        <v>6.6074949883402336</v>
      </c>
      <c r="F19" s="222">
        <f t="shared" si="4"/>
        <v>-3.9328794008090657</v>
      </c>
      <c r="G19" s="222">
        <f t="shared" si="4"/>
        <v>2.5423799415228037</v>
      </c>
      <c r="H19" s="222">
        <f t="shared" si="4"/>
        <v>8.7201666199383219</v>
      </c>
    </row>
    <row r="20" spans="1:8" x14ac:dyDescent="0.35">
      <c r="B20" s="215" t="s">
        <v>579</v>
      </c>
      <c r="C20" s="216">
        <f>'[2]Data Sheet'!B31/[2]HistoricalFS!C39</f>
        <v>2.5021268772094034</v>
      </c>
      <c r="D20" s="216">
        <f>'[2]Data Sheet'!C31/[2]HistoricalFS!D39</f>
        <v>5.0996233521657253</v>
      </c>
      <c r="E20" s="216">
        <f>'[2]Data Sheet'!D31/[2]HistoricalFS!E39</f>
        <v>3.5973162050484797</v>
      </c>
      <c r="F20" s="216">
        <f>'[2]Data Sheet'!E31/[2]HistoricalFS!F39</f>
        <v>3.5973725317418994</v>
      </c>
      <c r="G20" s="216">
        <f>'[2]Data Sheet'!F31/[2]HistoricalFS!G39</f>
        <v>3.5973725317418994</v>
      </c>
      <c r="H20" s="216">
        <f>'[2]Data Sheet'!G31/[2]HistoricalFS!H39</f>
        <v>3.9970841510794255</v>
      </c>
    </row>
    <row r="21" spans="1:8" ht="15" thickBot="1" x14ac:dyDescent="0.4">
      <c r="B21" s="230" t="s">
        <v>580</v>
      </c>
      <c r="C21" s="231">
        <f t="shared" ref="C21:H21" si="5">IFERROR(C20/C19,0)</f>
        <v>0.36557958140562874</v>
      </c>
      <c r="D21" s="231">
        <f t="shared" si="5"/>
        <v>0.14918015431149534</v>
      </c>
      <c r="E21" s="231">
        <f t="shared" si="5"/>
        <v>0.5444296532038847</v>
      </c>
      <c r="F21" s="231">
        <f t="shared" si="5"/>
        <v>-0.91469179833021419</v>
      </c>
      <c r="G21" s="231">
        <f t="shared" si="5"/>
        <v>1.4149625998021322</v>
      </c>
      <c r="H21" s="231">
        <f t="shared" si="5"/>
        <v>0.45837245150112704</v>
      </c>
    </row>
    <row r="22" spans="1:8" ht="15" thickBot="1" x14ac:dyDescent="0.4">
      <c r="B22" s="225" t="s">
        <v>106</v>
      </c>
      <c r="C22" s="228">
        <f t="shared" ref="C22:H22" si="6">IFERROR(IF(C19&gt;C20,1-C21,0),0)</f>
        <v>0.63442041859437126</v>
      </c>
      <c r="D22" s="228">
        <f t="shared" si="6"/>
        <v>0.85081984568850466</v>
      </c>
      <c r="E22" s="228">
        <f t="shared" si="6"/>
        <v>0.4555703467961153</v>
      </c>
      <c r="F22" s="228">
        <f t="shared" si="6"/>
        <v>0</v>
      </c>
      <c r="G22" s="228">
        <f t="shared" si="6"/>
        <v>0</v>
      </c>
      <c r="H22" s="228">
        <f t="shared" si="6"/>
        <v>0.54162754849887296</v>
      </c>
    </row>
    <row r="23" spans="1:8" ht="15" thickTop="1" x14ac:dyDescent="0.35"/>
    <row r="24" spans="1:8" ht="16" thickBot="1" x14ac:dyDescent="0.4">
      <c r="B24" s="234" t="s">
        <v>593</v>
      </c>
      <c r="C24" s="234"/>
      <c r="D24" s="234"/>
      <c r="E24" s="234"/>
      <c r="F24" s="234"/>
      <c r="G24" s="234"/>
      <c r="H24" s="234"/>
    </row>
    <row r="25" spans="1:8" ht="15" thickTop="1" x14ac:dyDescent="0.35">
      <c r="A25" s="204" t="s">
        <v>270</v>
      </c>
      <c r="B25" s="48" t="s">
        <v>96</v>
      </c>
      <c r="C25" s="214">
        <v>44256</v>
      </c>
      <c r="D25" s="214">
        <v>44651</v>
      </c>
      <c r="E25" s="214">
        <v>45016</v>
      </c>
      <c r="F25" s="214">
        <v>45382</v>
      </c>
      <c r="G25" s="214">
        <v>45747</v>
      </c>
      <c r="H25" s="214">
        <v>46112</v>
      </c>
    </row>
    <row r="26" spans="1:8" ht="5.4" customHeight="1" x14ac:dyDescent="0.35"/>
    <row r="27" spans="1:8" x14ac:dyDescent="0.35">
      <c r="B27" s="215" t="s">
        <v>24</v>
      </c>
      <c r="C27" s="216">
        <f>'[2]Data Sheet'!B57</f>
        <v>1197.6099999999999</v>
      </c>
      <c r="D27" s="216">
        <f>'[2]Data Sheet'!C57</f>
        <v>1221.21</v>
      </c>
      <c r="E27" s="216">
        <f>'[2]Data Sheet'!D57</f>
        <v>1221.24</v>
      </c>
      <c r="F27" s="216">
        <f>'[2]Data Sheet'!E57</f>
        <v>1247.44</v>
      </c>
      <c r="G27" s="216">
        <f>'[2]Data Sheet'!F57</f>
        <v>1247.44</v>
      </c>
      <c r="H27" s="216">
        <f>'[2]Data Sheet'!G57</f>
        <v>1247.44</v>
      </c>
    </row>
    <row r="28" spans="1:8" x14ac:dyDescent="0.35">
      <c r="B28" s="215" t="s">
        <v>25</v>
      </c>
      <c r="C28" s="216">
        <f>'[2]Data Sheet'!B58</f>
        <v>73041.16</v>
      </c>
      <c r="D28" s="216">
        <f>'[2]Data Sheet'!C58</f>
        <v>113221.83</v>
      </c>
      <c r="E28" s="216">
        <f>'[2]Data Sheet'!D58</f>
        <v>101860.86</v>
      </c>
      <c r="F28" s="216">
        <f>'[2]Data Sheet'!E58</f>
        <v>90788.32</v>
      </c>
      <c r="G28" s="216">
        <f>'[2]Data Sheet'!F58</f>
        <v>89922.19</v>
      </c>
      <c r="H28" s="216">
        <f>'[2]Data Sheet'!G58</f>
        <v>100920.21</v>
      </c>
    </row>
    <row r="29" spans="1:8" x14ac:dyDescent="0.35">
      <c r="B29" s="215" t="s">
        <v>71</v>
      </c>
      <c r="C29" s="216">
        <f>'[2]Data Sheet'!B59</f>
        <v>88501.41</v>
      </c>
      <c r="D29" s="216">
        <f>'[2]Data Sheet'!C59</f>
        <v>75561.350000000006</v>
      </c>
      <c r="E29" s="216">
        <f>'[2]Data Sheet'!D59</f>
        <v>84893.05</v>
      </c>
      <c r="F29" s="216">
        <f>'[2]Data Sheet'!E59</f>
        <v>87082.12</v>
      </c>
      <c r="G29" s="216">
        <f>'[2]Data Sheet'!F59</f>
        <v>94801.05</v>
      </c>
      <c r="H29" s="216">
        <f>'[2]Data Sheet'!G59</f>
        <v>92381.68</v>
      </c>
    </row>
    <row r="30" spans="1:8" x14ac:dyDescent="0.35">
      <c r="B30" s="215" t="s">
        <v>72</v>
      </c>
      <c r="C30" s="216">
        <f>'[2]Data Sheet'!B60-SUM('[2]Data Sheet'!B62:B63)</f>
        <v>52803.009999999995</v>
      </c>
      <c r="D30" s="216">
        <f>'[2]Data Sheet'!C60-SUM('[2]Data Sheet'!C62:C63)</f>
        <v>52399.28</v>
      </c>
      <c r="E30" s="216">
        <f>'[2]Data Sheet'!D60-SUM('[2]Data Sheet'!D62:D63)</f>
        <v>56193.630000000005</v>
      </c>
      <c r="F30" s="216">
        <f>'[2]Data Sheet'!E60-SUM('[2]Data Sheet'!E62:E63)</f>
        <v>57195.539999999994</v>
      </c>
      <c r="G30" s="216">
        <f>'[2]Data Sheet'!F60-SUM('[2]Data Sheet'!F62:F63)</f>
        <v>58518.899999999994</v>
      </c>
      <c r="H30" s="216">
        <f>'[2]Data Sheet'!G60-SUM('[2]Data Sheet'!G62:G63)</f>
        <v>64933.289999999994</v>
      </c>
    </row>
    <row r="31" spans="1:8" x14ac:dyDescent="0.35">
      <c r="B31" s="215" t="s">
        <v>205</v>
      </c>
      <c r="C31" s="216">
        <f>'[2]Data Sheet'!B62</f>
        <v>25967</v>
      </c>
      <c r="D31" s="216">
        <f>'[2]Data Sheet'!C62</f>
        <v>36765</v>
      </c>
      <c r="E31" s="216">
        <f>'[2]Data Sheet'!D62</f>
        <v>37833</v>
      </c>
      <c r="F31" s="216">
        <f>'[2]Data Sheet'!E62</f>
        <v>30228</v>
      </c>
      <c r="G31" s="216">
        <f>'[2]Data Sheet'!F62</f>
        <v>29314</v>
      </c>
      <c r="H31" s="216">
        <f>'[2]Data Sheet'!G62</f>
        <v>34810</v>
      </c>
    </row>
    <row r="32" spans="1:8" ht="15" thickBot="1" x14ac:dyDescent="0.4">
      <c r="B32" s="217" t="s">
        <v>222</v>
      </c>
      <c r="C32" s="218">
        <f>'[2]Data Sheet'!B63</f>
        <v>2399</v>
      </c>
      <c r="D32" s="218">
        <f>'[2]Data Sheet'!C63</f>
        <v>3253</v>
      </c>
      <c r="E32" s="218">
        <f>'[2]Data Sheet'!D63</f>
        <v>3394</v>
      </c>
      <c r="F32" s="218">
        <f>'[2]Data Sheet'!E63</f>
        <v>2771</v>
      </c>
      <c r="G32" s="218">
        <f>'[2]Data Sheet'!F63</f>
        <v>1655</v>
      </c>
      <c r="H32" s="218">
        <f>'[2]Data Sheet'!G63</f>
        <v>2222</v>
      </c>
    </row>
    <row r="33" spans="1:8" ht="15" thickBot="1" x14ac:dyDescent="0.4">
      <c r="B33" s="212" t="s">
        <v>224</v>
      </c>
      <c r="C33" s="213">
        <f>SUM(C27:C32)</f>
        <v>243909.19</v>
      </c>
      <c r="D33" s="213">
        <f t="shared" ref="D33:H33" si="7">SUM(D27:D32)</f>
        <v>282421.67000000004</v>
      </c>
      <c r="E33" s="213">
        <f t="shared" si="7"/>
        <v>285395.78000000003</v>
      </c>
      <c r="F33" s="213">
        <f t="shared" si="7"/>
        <v>269312.42</v>
      </c>
      <c r="G33" s="213">
        <f t="shared" si="7"/>
        <v>275458.57999999996</v>
      </c>
      <c r="H33" s="213">
        <f t="shared" si="7"/>
        <v>296514.62</v>
      </c>
    </row>
    <row r="34" spans="1:8" ht="15" thickTop="1" x14ac:dyDescent="0.35">
      <c r="C34" s="209"/>
      <c r="D34" s="209"/>
      <c r="E34" s="209"/>
      <c r="F34" s="209"/>
      <c r="G34" s="209"/>
      <c r="H34" s="209"/>
    </row>
    <row r="35" spans="1:8" x14ac:dyDescent="0.35">
      <c r="B35" s="215" t="s">
        <v>581</v>
      </c>
      <c r="C35" s="216">
        <f>'[2]Data Sheet'!B66</f>
        <v>135775.18</v>
      </c>
      <c r="D35" s="216">
        <f>'[2]Data Sheet'!C66</f>
        <v>133287.82999999999</v>
      </c>
      <c r="E35" s="216">
        <f>'[2]Data Sheet'!D66</f>
        <v>146621.46</v>
      </c>
      <c r="F35" s="216">
        <f>'[2]Data Sheet'!E66</f>
        <v>148814.38</v>
      </c>
      <c r="G35" s="216">
        <f>'[2]Data Sheet'!F66</f>
        <v>150914.06</v>
      </c>
      <c r="H35" s="216">
        <f>'[2]Data Sheet'!G66</f>
        <v>179908.13</v>
      </c>
    </row>
    <row r="36" spans="1:8" x14ac:dyDescent="0.35">
      <c r="B36" s="215" t="s">
        <v>28</v>
      </c>
      <c r="C36" s="216">
        <f>'[2]Data Sheet'!B67</f>
        <v>19007.400000000001</v>
      </c>
      <c r="D36" s="216">
        <f>'[2]Data Sheet'!C67</f>
        <v>22045.55</v>
      </c>
      <c r="E36" s="216">
        <f>'[2]Data Sheet'!D67</f>
        <v>31213.02</v>
      </c>
      <c r="F36" s="216">
        <f>'[2]Data Sheet'!E67</f>
        <v>34355.53</v>
      </c>
      <c r="G36" s="216">
        <f>'[2]Data Sheet'!F67</f>
        <v>41622.35</v>
      </c>
      <c r="H36" s="216">
        <f>'[2]Data Sheet'!G67</f>
        <v>28496.71</v>
      </c>
    </row>
    <row r="37" spans="1:8" x14ac:dyDescent="0.35">
      <c r="B37" s="215" t="s">
        <v>29</v>
      </c>
      <c r="C37" s="216">
        <f>'[2]Data Sheet'!B68</f>
        <v>10681.93</v>
      </c>
      <c r="D37" s="216">
        <f>'[2]Data Sheet'!C68</f>
        <v>13139.85</v>
      </c>
      <c r="E37" s="216">
        <f>'[2]Data Sheet'!D68</f>
        <v>8410.31</v>
      </c>
      <c r="F37" s="216">
        <f>'[2]Data Sheet'!E68</f>
        <v>6257.57</v>
      </c>
      <c r="G37" s="216">
        <f>'[2]Data Sheet'!F68</f>
        <v>6194.11</v>
      </c>
      <c r="H37" s="216">
        <f>'[2]Data Sheet'!G68</f>
        <v>7088.85</v>
      </c>
    </row>
    <row r="38" spans="1:8" ht="15" thickBot="1" x14ac:dyDescent="0.4">
      <c r="B38" s="217" t="s">
        <v>73</v>
      </c>
      <c r="C38" s="218">
        <f>'[2]Data Sheet'!B69-SUM('[2]Data Sheet'!B70:B72)</f>
        <v>29846.279999999992</v>
      </c>
      <c r="D38" s="218">
        <f>'[2]Data Sheet'!C69-SUM('[2]Data Sheet'!C70:C72)</f>
        <v>36978.69</v>
      </c>
      <c r="E38" s="218">
        <f>'[2]Data Sheet'!D69-SUM('[2]Data Sheet'!D70:D72)</f>
        <v>23121.160000000003</v>
      </c>
      <c r="F38" s="218">
        <f>'[2]Data Sheet'!E69-SUM('[2]Data Sheet'!E70:E72)</f>
        <v>15786.18</v>
      </c>
      <c r="G38" s="218">
        <f>'[2]Data Sheet'!F69-SUM('[2]Data Sheet'!F70:F72)</f>
        <v>15231.080000000002</v>
      </c>
      <c r="H38" s="218">
        <f>'[2]Data Sheet'!G69-SUM('[2]Data Sheet'!G70:G72)</f>
        <v>18797.289999999994</v>
      </c>
    </row>
    <row r="39" spans="1:8" ht="15" thickBot="1" x14ac:dyDescent="0.4">
      <c r="B39" s="212" t="s">
        <v>582</v>
      </c>
      <c r="C39" s="213">
        <f>SUM(C35:C38)</f>
        <v>195310.78999999998</v>
      </c>
      <c r="D39" s="213">
        <f t="shared" ref="D39:H39" si="8">SUM(D35:D38)</f>
        <v>205451.91999999998</v>
      </c>
      <c r="E39" s="213">
        <f t="shared" si="8"/>
        <v>209365.94999999998</v>
      </c>
      <c r="F39" s="213">
        <f t="shared" si="8"/>
        <v>205213.66</v>
      </c>
      <c r="G39" s="213">
        <f t="shared" si="8"/>
        <v>213961.59999999998</v>
      </c>
      <c r="H39" s="213">
        <f t="shared" si="8"/>
        <v>234290.97999999998</v>
      </c>
    </row>
    <row r="40" spans="1:8" ht="15" thickTop="1" x14ac:dyDescent="0.35">
      <c r="C40" s="209"/>
      <c r="D40" s="209"/>
      <c r="E40" s="209"/>
      <c r="F40" s="209"/>
      <c r="G40" s="209"/>
      <c r="H40" s="209"/>
    </row>
    <row r="41" spans="1:8" x14ac:dyDescent="0.35">
      <c r="B41" s="215" t="s">
        <v>78</v>
      </c>
      <c r="C41" s="216">
        <f>'[2]Data Sheet'!B70</f>
        <v>9539.84</v>
      </c>
      <c r="D41" s="216">
        <f>'[2]Data Sheet'!C70</f>
        <v>12246.43</v>
      </c>
      <c r="E41" s="216">
        <f>'[2]Data Sheet'!D70</f>
        <v>8257.24</v>
      </c>
      <c r="F41" s="216">
        <f>'[2]Data Sheet'!E70</f>
        <v>6263.53</v>
      </c>
      <c r="G41" s="216">
        <f>'[2]Data Sheet'!F70</f>
        <v>5260.06</v>
      </c>
      <c r="H41" s="216">
        <f>'[2]Data Sheet'!G70</f>
        <v>4916.8900000000003</v>
      </c>
    </row>
    <row r="42" spans="1:8" x14ac:dyDescent="0.35">
      <c r="B42" s="215" t="s">
        <v>45</v>
      </c>
      <c r="C42" s="216">
        <f>'[2]Data Sheet'!B71</f>
        <v>33276.379999999997</v>
      </c>
      <c r="D42" s="216">
        <f>'[2]Data Sheet'!C71</f>
        <v>48824.39</v>
      </c>
      <c r="E42" s="216">
        <f>'[2]Data Sheet'!D71</f>
        <v>54415.33</v>
      </c>
      <c r="F42" s="216">
        <f>'[2]Data Sheet'!E71</f>
        <v>49157.51</v>
      </c>
      <c r="G42" s="216">
        <f>'[2]Data Sheet'!F71</f>
        <v>44589.94</v>
      </c>
      <c r="H42" s="216">
        <f>'[2]Data Sheet'!G71</f>
        <v>47249.22</v>
      </c>
    </row>
    <row r="43" spans="1:8" x14ac:dyDescent="0.35">
      <c r="B43" s="215" t="s">
        <v>87</v>
      </c>
      <c r="C43" s="216">
        <f>'[2]Data Sheet'!B72</f>
        <v>5782.18</v>
      </c>
      <c r="D43" s="216">
        <f>'[2]Data Sheet'!C72</f>
        <v>15898.93</v>
      </c>
      <c r="E43" s="216">
        <f>'[2]Data Sheet'!D72</f>
        <v>13357.26</v>
      </c>
      <c r="F43" s="216">
        <f>'[2]Data Sheet'!E72</f>
        <v>8677.7199999999993</v>
      </c>
      <c r="G43" s="216">
        <f>'[2]Data Sheet'!F72</f>
        <v>11646.98</v>
      </c>
      <c r="H43" s="216">
        <f>'[2]Data Sheet'!G72</f>
        <v>10057.530000000001</v>
      </c>
    </row>
    <row r="44" spans="1:8" ht="15" thickBot="1" x14ac:dyDescent="0.4">
      <c r="B44" s="219" t="s">
        <v>583</v>
      </c>
      <c r="C44" s="220">
        <f>IFERROR(SUM(C41:C43),0)</f>
        <v>48598.400000000001</v>
      </c>
      <c r="D44" s="220">
        <f t="shared" ref="D44:H44" si="9">IFERROR(SUM(D41:D43),0)</f>
        <v>76969.75</v>
      </c>
      <c r="E44" s="220">
        <f t="shared" si="9"/>
        <v>76029.83</v>
      </c>
      <c r="F44" s="220">
        <f t="shared" si="9"/>
        <v>64098.76</v>
      </c>
      <c r="G44" s="220">
        <f t="shared" si="9"/>
        <v>61496.979999999996</v>
      </c>
      <c r="H44" s="220">
        <f t="shared" si="9"/>
        <v>62223.64</v>
      </c>
    </row>
    <row r="45" spans="1:8" ht="4.25" customHeight="1" thickBot="1" x14ac:dyDescent="0.4">
      <c r="C45" s="209"/>
      <c r="D45" s="209"/>
      <c r="E45" s="209"/>
      <c r="F45" s="209"/>
      <c r="G45" s="209"/>
      <c r="H45" s="209"/>
    </row>
    <row r="46" spans="1:8" ht="15" thickBot="1" x14ac:dyDescent="0.4">
      <c r="B46" s="212" t="s">
        <v>103</v>
      </c>
      <c r="C46" s="213">
        <f t="shared" ref="C46:H46" si="10">IFERROR(C44+C39,0)</f>
        <v>243909.18999999997</v>
      </c>
      <c r="D46" s="213">
        <f t="shared" si="10"/>
        <v>282421.67</v>
      </c>
      <c r="E46" s="213">
        <f t="shared" si="10"/>
        <v>285395.77999999997</v>
      </c>
      <c r="F46" s="213">
        <f t="shared" si="10"/>
        <v>269312.42</v>
      </c>
      <c r="G46" s="213">
        <f t="shared" si="10"/>
        <v>275458.57999999996</v>
      </c>
      <c r="H46" s="213">
        <f t="shared" si="10"/>
        <v>296514.62</v>
      </c>
    </row>
    <row r="47" spans="1:8" ht="15.5" thickTop="1" thickBot="1" x14ac:dyDescent="0.4"/>
    <row r="48" spans="1:8" ht="15" thickBot="1" x14ac:dyDescent="0.4">
      <c r="A48" s="204" t="s">
        <v>270</v>
      </c>
      <c r="B48" s="221" t="s">
        <v>584</v>
      </c>
      <c r="C48" s="221" t="b">
        <f>ROUND(C33,0)=ROUND(C46,0)</f>
        <v>1</v>
      </c>
      <c r="D48" s="221" t="b">
        <f t="shared" ref="D48:H48" si="11">ROUND(D33,0)=ROUND(D46,0)</f>
        <v>1</v>
      </c>
      <c r="E48" s="221" t="b">
        <f t="shared" si="11"/>
        <v>1</v>
      </c>
      <c r="F48" s="221" t="b">
        <f t="shared" si="11"/>
        <v>1</v>
      </c>
      <c r="G48" s="221" t="b">
        <f t="shared" si="11"/>
        <v>1</v>
      </c>
      <c r="H48" s="221" t="b">
        <f t="shared" si="11"/>
        <v>1</v>
      </c>
    </row>
    <row r="50" spans="1:8" ht="14.4" customHeight="1" thickBot="1" x14ac:dyDescent="0.4">
      <c r="A50" s="211" t="s">
        <v>270</v>
      </c>
      <c r="B50" s="234" t="s">
        <v>566</v>
      </c>
      <c r="C50" s="234"/>
      <c r="D50" s="234"/>
      <c r="E50" s="234"/>
      <c r="F50" s="234"/>
      <c r="G50" s="234"/>
      <c r="H50" s="234"/>
    </row>
    <row r="51" spans="1:8" ht="15" thickTop="1" x14ac:dyDescent="0.35">
      <c r="B51" s="25" t="s">
        <v>96</v>
      </c>
      <c r="C51" s="26">
        <v>44256</v>
      </c>
      <c r="D51" s="26">
        <v>44621</v>
      </c>
      <c r="E51" s="26">
        <v>44986</v>
      </c>
      <c r="F51" s="26">
        <v>45352</v>
      </c>
      <c r="G51" s="26">
        <v>45717</v>
      </c>
      <c r="H51" s="26">
        <v>46082</v>
      </c>
    </row>
    <row r="52" spans="1:8" ht="4.75" customHeight="1" x14ac:dyDescent="0.35">
      <c r="B52"/>
      <c r="C52"/>
      <c r="D52"/>
      <c r="E52"/>
      <c r="F52"/>
      <c r="G52"/>
      <c r="H52"/>
    </row>
    <row r="53" spans="1:8" ht="15" thickBot="1" x14ac:dyDescent="0.4">
      <c r="B53" s="156" t="s">
        <v>567</v>
      </c>
      <c r="C53" s="113"/>
      <c r="D53" s="113"/>
      <c r="E53" s="113"/>
      <c r="F53" s="113"/>
      <c r="G53" s="113"/>
      <c r="H53" s="113"/>
    </row>
    <row r="54" spans="1:8" x14ac:dyDescent="0.35">
      <c r="B54" s="195" t="str">
        <f>'Cash Flow '!A3</f>
        <v>Profit from operations</v>
      </c>
      <c r="C54" s="197">
        <v>28450</v>
      </c>
      <c r="D54" s="197">
        <f>'Cash Flow '!B3</f>
        <v>65900</v>
      </c>
      <c r="E54" s="197">
        <f>'Cash Flow '!C3</f>
        <v>30908</v>
      </c>
      <c r="F54" s="197">
        <f>'Cash Flow '!D3</f>
        <v>22237</v>
      </c>
      <c r="G54" s="197">
        <f>'Cash Flow '!E3</f>
        <v>23929</v>
      </c>
      <c r="H54" s="197">
        <f>'Cash Flow '!F3</f>
        <v>34219</v>
      </c>
    </row>
    <row r="55" spans="1:8" x14ac:dyDescent="0.35">
      <c r="B55" s="47" t="str">
        <f>'Cash Flow '!A4</f>
        <v>Receivables</v>
      </c>
      <c r="C55" s="47"/>
      <c r="D55" s="198">
        <f>'Cash Flow '!B4</f>
        <v>0</v>
      </c>
      <c r="E55" s="198">
        <f>'Cash Flow '!C4</f>
        <v>0</v>
      </c>
      <c r="F55" s="198">
        <f>'Cash Flow '!D4</f>
        <v>0</v>
      </c>
      <c r="G55" s="198">
        <f>'Cash Flow '!E4</f>
        <v>0</v>
      </c>
      <c r="H55" s="198">
        <f>'Cash Flow '!F4</f>
        <v>0</v>
      </c>
    </row>
    <row r="56" spans="1:8" x14ac:dyDescent="0.35">
      <c r="B56" s="47" t="str">
        <f>'Cash Flow '!A5</f>
        <v>Inventory</v>
      </c>
      <c r="C56" s="198">
        <v>46</v>
      </c>
      <c r="D56" s="198">
        <f>'Cash Flow '!B5</f>
        <v>-16917</v>
      </c>
      <c r="E56" s="198">
        <f>'Cash Flow '!C5</f>
        <v>-4031</v>
      </c>
      <c r="F56" s="198">
        <f>'Cash Flow '!D5</f>
        <v>5566</v>
      </c>
      <c r="G56" s="198">
        <f>'Cash Flow '!E5</f>
        <v>4776</v>
      </c>
      <c r="H56" s="198">
        <f>'Cash Flow '!F5</f>
        <v>1290</v>
      </c>
    </row>
    <row r="57" spans="1:8" x14ac:dyDescent="0.35">
      <c r="B57" s="47" t="str">
        <f>'Cash Flow '!A6</f>
        <v>Payables</v>
      </c>
      <c r="C57" s="47"/>
      <c r="D57" s="198">
        <f>'Cash Flow '!B6</f>
        <v>0</v>
      </c>
      <c r="E57" s="198">
        <f>'Cash Flow '!C6</f>
        <v>0</v>
      </c>
      <c r="F57" s="198">
        <f>'Cash Flow '!D6</f>
        <v>0</v>
      </c>
      <c r="G57" s="198">
        <f>'Cash Flow '!E6</f>
        <v>0</v>
      </c>
      <c r="H57" s="198">
        <f>'Cash Flow '!F6</f>
        <v>0</v>
      </c>
    </row>
    <row r="58" spans="1:8" x14ac:dyDescent="0.35">
      <c r="B58" s="211" t="s">
        <v>594</v>
      </c>
      <c r="D58" s="198">
        <v>0</v>
      </c>
      <c r="E58" s="198">
        <v>0</v>
      </c>
      <c r="F58" s="198">
        <v>0</v>
      </c>
      <c r="G58" s="198">
        <v>0</v>
      </c>
      <c r="H58" s="198">
        <v>0</v>
      </c>
    </row>
    <row r="59" spans="1:8" x14ac:dyDescent="0.35">
      <c r="B59" s="47" t="str">
        <f>'Cash Flow '!A7</f>
        <v>Other WC items</v>
      </c>
      <c r="C59" s="198">
        <v>16446</v>
      </c>
      <c r="D59" s="198">
        <f>'Cash Flow '!B7</f>
        <v>7299</v>
      </c>
      <c r="E59" s="198">
        <f>'Cash Flow '!C7</f>
        <v>325</v>
      </c>
      <c r="F59" s="198">
        <f>'Cash Flow '!D7</f>
        <v>-2182</v>
      </c>
      <c r="G59" s="198">
        <f>'Cash Flow '!E7</f>
        <v>-2569</v>
      </c>
      <c r="H59" s="198">
        <f>'Cash Flow '!F7</f>
        <v>4152</v>
      </c>
    </row>
    <row r="60" spans="1:8" x14ac:dyDescent="0.35">
      <c r="B60" s="47" t="str">
        <f>'Cash Flow '!A8</f>
        <v>Working capital changes</v>
      </c>
      <c r="C60" s="198">
        <f>SUM(C55:C59)</f>
        <v>16492</v>
      </c>
      <c r="D60" s="198">
        <f t="shared" ref="D60:H60" si="12">SUM(D55:D59)</f>
        <v>-9618</v>
      </c>
      <c r="E60" s="198">
        <f t="shared" si="12"/>
        <v>-3706</v>
      </c>
      <c r="F60" s="198">
        <f t="shared" si="12"/>
        <v>3384</v>
      </c>
      <c r="G60" s="198">
        <f t="shared" si="12"/>
        <v>2207</v>
      </c>
      <c r="H60" s="198">
        <f t="shared" si="12"/>
        <v>5442</v>
      </c>
    </row>
    <row r="61" spans="1:8" ht="15" thickBot="1" x14ac:dyDescent="0.4">
      <c r="B61" t="s">
        <v>544</v>
      </c>
      <c r="C61" s="209">
        <v>704</v>
      </c>
      <c r="D61" s="209">
        <v>-11902</v>
      </c>
      <c r="E61" s="209">
        <v>-5519</v>
      </c>
      <c r="F61" s="209">
        <v>-5320</v>
      </c>
      <c r="G61" s="209">
        <v>-2998</v>
      </c>
      <c r="H61" s="209">
        <v>-4597</v>
      </c>
    </row>
    <row r="62" spans="1:8" ht="15" thickBot="1" x14ac:dyDescent="0.4">
      <c r="B62" s="87" t="s">
        <v>348</v>
      </c>
      <c r="C62" s="203">
        <f>SUM(C54,C60:C61)</f>
        <v>45646</v>
      </c>
      <c r="D62" s="203">
        <f t="shared" ref="D62:H62" si="13">SUM(D54,D60:D61)</f>
        <v>44380</v>
      </c>
      <c r="E62" s="203">
        <f t="shared" si="13"/>
        <v>21683</v>
      </c>
      <c r="F62" s="203">
        <f t="shared" si="13"/>
        <v>20301</v>
      </c>
      <c r="G62" s="203">
        <f t="shared" si="13"/>
        <v>23138</v>
      </c>
      <c r="H62" s="203">
        <f t="shared" si="13"/>
        <v>35064</v>
      </c>
    </row>
    <row r="63" spans="1:8" ht="6.65" customHeight="1" thickTop="1" x14ac:dyDescent="0.35">
      <c r="B63" s="2"/>
      <c r="C63"/>
      <c r="D63" s="200"/>
      <c r="E63" s="200"/>
      <c r="F63" s="200"/>
      <c r="G63" s="200"/>
      <c r="H63" s="200"/>
    </row>
    <row r="64" spans="1:8" ht="15" thickBot="1" x14ac:dyDescent="0.4">
      <c r="B64" s="156" t="s">
        <v>570</v>
      </c>
      <c r="C64" s="113"/>
      <c r="D64" s="201"/>
      <c r="E64" s="201"/>
      <c r="F64" s="201"/>
      <c r="G64" s="201"/>
      <c r="H64" s="201"/>
    </row>
    <row r="65" spans="2:8" x14ac:dyDescent="0.35">
      <c r="B65" s="195" t="str">
        <f>'Cash Flow '!A11</f>
        <v>Fixed assets purchased</v>
      </c>
      <c r="C65" s="198">
        <v>-6979</v>
      </c>
      <c r="D65" s="197">
        <f>'Cash Flow '!B11</f>
        <v>-10522</v>
      </c>
      <c r="E65" s="197">
        <f>'Cash Flow '!C11</f>
        <v>-14142</v>
      </c>
      <c r="F65" s="197">
        <f>'Cash Flow '!D11</f>
        <v>-18207</v>
      </c>
      <c r="G65" s="197">
        <f>'Cash Flow '!E11</f>
        <v>-15671</v>
      </c>
      <c r="H65" s="197">
        <f>'Cash Flow '!F11</f>
        <v>-14559</v>
      </c>
    </row>
    <row r="66" spans="2:8" x14ac:dyDescent="0.35">
      <c r="B66" s="47" t="str">
        <f>'Cash Flow '!A12</f>
        <v>Fixed assets sold</v>
      </c>
      <c r="C66" s="198">
        <v>445</v>
      </c>
      <c r="D66" s="198">
        <f>'Cash Flow '!B12</f>
        <v>569</v>
      </c>
      <c r="E66" s="198">
        <f>'Cash Flow '!C12</f>
        <v>328</v>
      </c>
      <c r="F66" s="198">
        <f>'Cash Flow '!D12</f>
        <v>475</v>
      </c>
      <c r="G66" s="198">
        <f>'Cash Flow '!E12</f>
        <v>1264</v>
      </c>
      <c r="H66" s="198">
        <f>'Cash Flow '!F12</f>
        <v>1401</v>
      </c>
    </row>
    <row r="67" spans="2:8" x14ac:dyDescent="0.35">
      <c r="B67" s="47" t="str">
        <f>'Cash Flow '!A13</f>
        <v>Investments purchased</v>
      </c>
      <c r="C67" s="198">
        <v>-3631</v>
      </c>
      <c r="D67" s="198">
        <f>'Cash Flow '!B13</f>
        <v>-1153</v>
      </c>
      <c r="E67" s="198">
        <f>'Cash Flow '!C13</f>
        <v>-326</v>
      </c>
      <c r="F67" s="198">
        <f>'Cash Flow '!D13</f>
        <v>-4</v>
      </c>
      <c r="G67" s="198">
        <f>'Cash Flow '!E13</f>
        <v>-393</v>
      </c>
      <c r="H67" s="198">
        <f>'Cash Flow '!F13</f>
        <v>-553</v>
      </c>
    </row>
    <row r="68" spans="2:8" x14ac:dyDescent="0.35">
      <c r="B68" s="47" t="str">
        <f>'Cash Flow '!A14</f>
        <v>Investments sold</v>
      </c>
      <c r="C68" s="198">
        <v>0</v>
      </c>
      <c r="D68" s="198">
        <f>'Cash Flow '!B14</f>
        <v>63</v>
      </c>
      <c r="E68" s="198">
        <f>'Cash Flow '!C14</f>
        <v>5191</v>
      </c>
      <c r="F68" s="198">
        <f>'Cash Flow '!D14</f>
        <v>3171</v>
      </c>
      <c r="G68" s="198">
        <f>'Cash Flow '!E14</f>
        <v>554</v>
      </c>
      <c r="H68" s="198">
        <f>'Cash Flow '!F14</f>
        <v>20</v>
      </c>
    </row>
    <row r="69" spans="2:8" x14ac:dyDescent="0.35">
      <c r="B69" s="47" t="str">
        <f>'Cash Flow '!A15</f>
        <v>Interest received</v>
      </c>
      <c r="C69" s="198">
        <v>266</v>
      </c>
      <c r="D69" s="198">
        <f>'Cash Flow '!B15</f>
        <v>137</v>
      </c>
      <c r="E69" s="198">
        <f>'Cash Flow '!C15</f>
        <v>248</v>
      </c>
      <c r="F69" s="198">
        <f>'Cash Flow '!D15</f>
        <v>333</v>
      </c>
      <c r="G69" s="198">
        <f>'Cash Flow '!E15</f>
        <v>616</v>
      </c>
      <c r="H69" s="198">
        <f>'Cash Flow '!F15</f>
        <v>650</v>
      </c>
    </row>
    <row r="70" spans="2:8" x14ac:dyDescent="0.35">
      <c r="B70" s="47" t="str">
        <f>'Cash Flow '!A16</f>
        <v>Dividends received</v>
      </c>
      <c r="C70" s="198">
        <v>135</v>
      </c>
      <c r="D70" s="198">
        <f>'Cash Flow '!B16</f>
        <v>162</v>
      </c>
      <c r="E70" s="198">
        <f>'Cash Flow '!C16</f>
        <v>317</v>
      </c>
      <c r="F70" s="198">
        <f>'Cash Flow '!D16</f>
        <v>336</v>
      </c>
      <c r="G70" s="198">
        <f>'Cash Flow '!E16</f>
        <v>294</v>
      </c>
      <c r="H70" s="198">
        <f>'Cash Flow '!F16</f>
        <v>408</v>
      </c>
    </row>
    <row r="71" spans="2:8" x14ac:dyDescent="0.35">
      <c r="B71" s="47" t="str">
        <f>'Cash Flow '!A17</f>
        <v>Redemp n Canc of Shares</v>
      </c>
      <c r="C71" s="198">
        <v>90</v>
      </c>
      <c r="D71" s="198">
        <f>'Cash Flow '!B17</f>
        <v>1208</v>
      </c>
      <c r="E71" s="198">
        <f>'Cash Flow '!C17</f>
        <v>166</v>
      </c>
      <c r="F71" s="198">
        <f>'Cash Flow '!D17</f>
        <v>123</v>
      </c>
      <c r="G71" s="198">
        <f>'Cash Flow '!E17</f>
        <v>28</v>
      </c>
      <c r="H71" s="198">
        <f>'Cash Flow '!F17</f>
        <v>611</v>
      </c>
    </row>
    <row r="72" spans="2:8" x14ac:dyDescent="0.35">
      <c r="B72" s="47" t="str">
        <f>'Cash Flow '!A18</f>
        <v>Acquisition of companies</v>
      </c>
      <c r="C72" s="198">
        <v>0</v>
      </c>
      <c r="D72" s="198">
        <f>'Cash Flow '!B18</f>
        <v>-53</v>
      </c>
      <c r="E72" s="198">
        <f>'Cash Flow '!C18</f>
        <v>-10569</v>
      </c>
      <c r="F72" s="198">
        <f>'Cash Flow '!D18</f>
        <v>0</v>
      </c>
      <c r="G72" s="198">
        <f>'Cash Flow '!E18</f>
        <v>-6</v>
      </c>
      <c r="H72" s="198">
        <f>'Cash Flow '!F18</f>
        <v>-2846</v>
      </c>
    </row>
    <row r="73" spans="2:8" x14ac:dyDescent="0.35">
      <c r="B73" s="47" t="str">
        <f>'Cash Flow '!A19</f>
        <v>Inter corporate deposits</v>
      </c>
      <c r="C73" s="198">
        <v>0</v>
      </c>
      <c r="D73" s="198">
        <f>'Cash Flow '!B19</f>
        <v>0</v>
      </c>
      <c r="E73" s="198">
        <f>'Cash Flow '!C19</f>
        <v>0</v>
      </c>
      <c r="F73" s="198">
        <f>'Cash Flow '!D19</f>
        <v>0</v>
      </c>
      <c r="G73" s="198">
        <f>'Cash Flow '!E19</f>
        <v>0</v>
      </c>
      <c r="H73" s="198">
        <f>'Cash Flow '!F19</f>
        <v>0</v>
      </c>
    </row>
    <row r="74" spans="2:8" x14ac:dyDescent="0.35">
      <c r="B74" s="47" t="str">
        <f>'Cash Flow '!A20</f>
        <v>Other investing items</v>
      </c>
      <c r="C74" s="198">
        <v>236</v>
      </c>
      <c r="D74" s="198">
        <f>'Cash Flow '!B20</f>
        <v>-1315</v>
      </c>
      <c r="E74" s="198">
        <f>'Cash Flow '!C20</f>
        <v>609</v>
      </c>
      <c r="F74" s="198">
        <f>'Cash Flow '!D20</f>
        <v>-481</v>
      </c>
      <c r="G74" s="198">
        <f>'Cash Flow '!E20</f>
        <v>-298</v>
      </c>
      <c r="H74" s="198">
        <f>'Cash Flow '!F20</f>
        <v>472</v>
      </c>
    </row>
    <row r="75" spans="2:8" ht="15" thickBot="1" x14ac:dyDescent="0.4">
      <c r="B75" s="196" t="s">
        <v>568</v>
      </c>
      <c r="C75" s="199">
        <f t="shared" ref="C75:H75" si="14">SUM(C65:C74)</f>
        <v>-9438</v>
      </c>
      <c r="D75" s="199">
        <f t="shared" si="14"/>
        <v>-10904</v>
      </c>
      <c r="E75" s="199">
        <f t="shared" si="14"/>
        <v>-18178</v>
      </c>
      <c r="F75" s="199">
        <f t="shared" si="14"/>
        <v>-14254</v>
      </c>
      <c r="G75" s="199">
        <f t="shared" si="14"/>
        <v>-13612</v>
      </c>
      <c r="H75" s="199">
        <f t="shared" si="14"/>
        <v>-14396</v>
      </c>
    </row>
    <row r="76" spans="2:8" ht="7.25" customHeight="1" thickTop="1" x14ac:dyDescent="0.35">
      <c r="B76"/>
      <c r="C76"/>
      <c r="D76" s="200"/>
      <c r="E76" s="200"/>
      <c r="F76" s="200"/>
      <c r="G76" s="200"/>
      <c r="H76" s="200"/>
    </row>
    <row r="77" spans="2:8" ht="15" thickBot="1" x14ac:dyDescent="0.4">
      <c r="B77" s="156" t="s">
        <v>569</v>
      </c>
      <c r="C77" s="113"/>
      <c r="D77" s="201"/>
      <c r="E77" s="201"/>
      <c r="F77" s="201"/>
      <c r="G77" s="201"/>
      <c r="H77" s="201"/>
    </row>
    <row r="78" spans="2:8" x14ac:dyDescent="0.35">
      <c r="B78" s="195" t="str">
        <f>'Cash Flow '!A22</f>
        <v>Proceeds from shares</v>
      </c>
      <c r="C78" s="198">
        <v>3299</v>
      </c>
      <c r="D78" s="197">
        <f>'Cash Flow '!B22</f>
        <v>326</v>
      </c>
      <c r="E78" s="197">
        <f>'Cash Flow '!C22</f>
        <v>1</v>
      </c>
      <c r="F78" s="197">
        <f>'Cash Flow '!D22</f>
        <v>0</v>
      </c>
      <c r="G78" s="197">
        <f>'Cash Flow '!E22</f>
        <v>0</v>
      </c>
      <c r="H78" s="197">
        <f>'Cash Flow '!F22</f>
        <v>0</v>
      </c>
    </row>
    <row r="79" spans="2:8" x14ac:dyDescent="0.35">
      <c r="B79" s="47" t="str">
        <f>'Cash Flow '!A23</f>
        <v>Proceeds from borrowings</v>
      </c>
      <c r="C79" s="198">
        <v>9801</v>
      </c>
      <c r="D79" s="198">
        <f>'Cash Flow '!B23</f>
        <v>12439</v>
      </c>
      <c r="E79" s="198">
        <f>'Cash Flow '!C23</f>
        <v>16769</v>
      </c>
      <c r="F79" s="198">
        <f>'Cash Flow '!D23</f>
        <v>14120</v>
      </c>
      <c r="G79" s="198">
        <f>'Cash Flow '!E23</f>
        <v>23893</v>
      </c>
      <c r="H79" s="198">
        <f>'Cash Flow '!F23</f>
        <v>15954</v>
      </c>
    </row>
    <row r="80" spans="2:8" x14ac:dyDescent="0.35">
      <c r="B80" s="47" t="str">
        <f>'Cash Flow '!A24</f>
        <v>Repayment of borrowings</v>
      </c>
      <c r="C80" s="198">
        <v>-39177</v>
      </c>
      <c r="D80" s="198">
        <f>'Cash Flow '!B24</f>
        <v>-26360</v>
      </c>
      <c r="E80" s="198">
        <f>'Cash Flow '!C24</f>
        <v>-10226</v>
      </c>
      <c r="F80" s="198">
        <f>'Cash Flow '!D24</f>
        <v>-11908</v>
      </c>
      <c r="G80" s="198">
        <f>'Cash Flow '!E24</f>
        <v>-17627</v>
      </c>
      <c r="H80" s="198">
        <f>'Cash Flow '!F24</f>
        <v>-23916</v>
      </c>
    </row>
    <row r="81" spans="2:8" x14ac:dyDescent="0.35">
      <c r="B81" s="47" t="str">
        <f>'Cash Flow '!A25</f>
        <v>Interest paid fin</v>
      </c>
      <c r="C81" s="198">
        <v>-6804</v>
      </c>
      <c r="D81" s="198">
        <f>'Cash Flow '!B25</f>
        <v>-4687</v>
      </c>
      <c r="E81" s="198">
        <f>'Cash Flow '!C25</f>
        <v>-6120</v>
      </c>
      <c r="F81" s="198">
        <f>'Cash Flow '!D25</f>
        <v>-8145</v>
      </c>
      <c r="G81" s="198">
        <f>'Cash Flow '!E25</f>
        <v>-8119</v>
      </c>
      <c r="H81" s="198">
        <f>'Cash Flow '!F25</f>
        <v>-8066</v>
      </c>
    </row>
    <row r="82" spans="2:8" x14ac:dyDescent="0.35">
      <c r="B82" s="47" t="str">
        <f>'Cash Flow '!A26</f>
        <v>Dividends paid</v>
      </c>
      <c r="C82" s="198">
        <v>-1151</v>
      </c>
      <c r="D82" s="198">
        <f>'Cash Flow '!B26</f>
        <v>-3020</v>
      </c>
      <c r="E82" s="198">
        <f>'Cash Flow '!C26</f>
        <v>-6293</v>
      </c>
      <c r="F82" s="198">
        <f>'Cash Flow '!D26</f>
        <v>-4429</v>
      </c>
      <c r="G82" s="198">
        <f>'Cash Flow '!E26</f>
        <v>-4490</v>
      </c>
      <c r="H82" s="198">
        <f>'Cash Flow '!F26</f>
        <v>-4490</v>
      </c>
    </row>
    <row r="83" spans="2:8" x14ac:dyDescent="0.35">
      <c r="B83" s="47" t="str">
        <f>'Cash Flow '!A27</f>
        <v>Financial liabilities</v>
      </c>
      <c r="C83" s="198">
        <v>-1284</v>
      </c>
      <c r="D83" s="198">
        <f>'Cash Flow '!B27</f>
        <v>-1310</v>
      </c>
      <c r="E83" s="198">
        <f>'Cash Flow '!C27</f>
        <v>-1114</v>
      </c>
      <c r="F83" s="198">
        <f>'Cash Flow '!D27</f>
        <v>-1140</v>
      </c>
      <c r="G83" s="198">
        <f>'Cash Flow '!E27</f>
        <v>-971</v>
      </c>
      <c r="H83" s="198">
        <f>'Cash Flow '!F27</f>
        <v>-1162</v>
      </c>
    </row>
    <row r="84" spans="2:8" x14ac:dyDescent="0.35">
      <c r="B84" s="47" t="str">
        <f>'Cash Flow '!A28</f>
        <v>Other financing items</v>
      </c>
      <c r="C84" s="198">
        <v>-1714</v>
      </c>
      <c r="D84" s="198">
        <f>'Cash Flow '!B28</f>
        <v>-789</v>
      </c>
      <c r="E84" s="198">
        <f>'Cash Flow '!C28</f>
        <v>2</v>
      </c>
      <c r="F84" s="198">
        <f>'Cash Flow '!D28</f>
        <v>404</v>
      </c>
      <c r="G84" s="198">
        <f>'Cash Flow '!E28</f>
        <v>312</v>
      </c>
      <c r="H84" s="198">
        <f>'Cash Flow '!F28</f>
        <v>293</v>
      </c>
    </row>
    <row r="85" spans="2:8" ht="15" thickBot="1" x14ac:dyDescent="0.4">
      <c r="B85" s="196" t="s">
        <v>571</v>
      </c>
      <c r="C85" s="199">
        <f t="shared" ref="C85:H85" si="15">SUM(C78:C84)</f>
        <v>-37030</v>
      </c>
      <c r="D85" s="199">
        <f t="shared" si="15"/>
        <v>-23401</v>
      </c>
      <c r="E85" s="199">
        <f t="shared" si="15"/>
        <v>-6981</v>
      </c>
      <c r="F85" s="199">
        <f t="shared" si="15"/>
        <v>-11098</v>
      </c>
      <c r="G85" s="199">
        <f t="shared" si="15"/>
        <v>-7002</v>
      </c>
      <c r="H85" s="199">
        <f t="shared" si="15"/>
        <v>-21387</v>
      </c>
    </row>
    <row r="86" spans="2:8" ht="6.65" customHeight="1" thickTop="1" thickBot="1" x14ac:dyDescent="0.4">
      <c r="B86" s="2"/>
      <c r="C86" s="2"/>
      <c r="D86" s="202"/>
      <c r="E86" s="202"/>
      <c r="F86" s="202"/>
      <c r="G86" s="202"/>
      <c r="H86" s="202"/>
    </row>
    <row r="87" spans="2:8" ht="15" thickBot="1" x14ac:dyDescent="0.4">
      <c r="B87" s="151" t="str">
        <f>'Cash Flow '!A29</f>
        <v>Net Cash Flow</v>
      </c>
      <c r="C87" s="203">
        <f t="shared" ref="C87:H87" si="16">C62+C75+C85</f>
        <v>-822</v>
      </c>
      <c r="D87" s="203">
        <f t="shared" si="16"/>
        <v>10075</v>
      </c>
      <c r="E87" s="203">
        <f t="shared" si="16"/>
        <v>-3476</v>
      </c>
      <c r="F87" s="203">
        <f t="shared" si="16"/>
        <v>-5051</v>
      </c>
      <c r="G87" s="203">
        <f t="shared" si="16"/>
        <v>2524</v>
      </c>
      <c r="H87" s="203">
        <f t="shared" si="16"/>
        <v>-719</v>
      </c>
    </row>
    <row r="88" spans="2:8" ht="15" thickTop="1" x14ac:dyDescent="0.35"/>
  </sheetData>
  <mergeCells count="4">
    <mergeCell ref="B50:H50"/>
    <mergeCell ref="B24:H24"/>
    <mergeCell ref="B1:H2"/>
    <mergeCell ref="B4:H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2A4B1-2C95-4749-98EE-CFFA2148CFE2}">
  <dimension ref="B1:O72"/>
  <sheetViews>
    <sheetView showGridLines="0" topLeftCell="A25" zoomScale="122" zoomScaleNormal="115" workbookViewId="0">
      <selection activeCell="B56" sqref="B56"/>
    </sheetView>
  </sheetViews>
  <sheetFormatPr defaultRowHeight="14.5" x14ac:dyDescent="0.35"/>
  <cols>
    <col min="1" max="1" width="1.90625" customWidth="1"/>
    <col min="2" max="2" width="26.453125" customWidth="1"/>
    <col min="3" max="3" width="9.90625" customWidth="1"/>
    <col min="4" max="7" width="9.54296875" bestFit="1" customWidth="1"/>
  </cols>
  <sheetData>
    <row r="1" spans="2:15" ht="14.4" customHeight="1" x14ac:dyDescent="0.35">
      <c r="B1" s="341" t="s">
        <v>417</v>
      </c>
      <c r="C1" s="341"/>
      <c r="D1" s="341"/>
      <c r="E1" s="341"/>
      <c r="F1" s="341"/>
      <c r="G1" s="341"/>
      <c r="H1" s="341"/>
      <c r="I1" s="341"/>
      <c r="J1" s="341"/>
    </row>
    <row r="2" spans="2:15" ht="14.4" customHeight="1" x14ac:dyDescent="0.35">
      <c r="B2" s="341"/>
      <c r="C2" s="341"/>
      <c r="D2" s="341"/>
      <c r="E2" s="341"/>
      <c r="F2" s="341"/>
      <c r="G2" s="341"/>
      <c r="H2" s="341"/>
      <c r="I2" s="341"/>
      <c r="J2" s="341"/>
    </row>
    <row r="4" spans="2:15" ht="15" thickBot="1" x14ac:dyDescent="0.4">
      <c r="B4" s="113" t="s">
        <v>418</v>
      </c>
      <c r="C4" s="113"/>
      <c r="D4" s="113"/>
      <c r="E4" s="113"/>
      <c r="F4" s="113"/>
      <c r="G4" s="113"/>
      <c r="H4" s="113"/>
    </row>
    <row r="6" spans="2:15" ht="15" thickBot="1" x14ac:dyDescent="0.4">
      <c r="C6" s="161" t="s">
        <v>596</v>
      </c>
      <c r="D6" s="161" t="s">
        <v>421</v>
      </c>
      <c r="E6" s="161" t="s">
        <v>422</v>
      </c>
      <c r="F6" s="161" t="s">
        <v>423</v>
      </c>
      <c r="G6" s="161" t="s">
        <v>424</v>
      </c>
    </row>
    <row r="7" spans="2:15" x14ac:dyDescent="0.35">
      <c r="B7" s="159" t="s">
        <v>419</v>
      </c>
      <c r="C7" s="160">
        <f>'Historical '!D44/('Historical '!D30+'Historical '!D31+'Historical '!D32)</f>
        <v>0.83285019857758202</v>
      </c>
      <c r="D7" s="160">
        <f>'Historical '!E44/('Historical '!E30+'Historical '!E31+'Historical '!E32)</f>
        <v>0.7804284369747968</v>
      </c>
      <c r="E7" s="160">
        <f>'Historical '!F44/('Historical '!F30+'Historical '!F31+'Historical '!F32)</f>
        <v>0.71067228681470085</v>
      </c>
      <c r="F7" s="160">
        <f>'Historical '!G44/('Historical '!G30+'Historical '!G31+'Historical '!G32)</f>
        <v>0.68721000269310151</v>
      </c>
      <c r="G7" s="160">
        <f>'Historical '!H44/('Historical '!H30+'Historical '!H31+'Historical '!H32)</f>
        <v>0.61024334849633644</v>
      </c>
    </row>
    <row r="8" spans="2:15" x14ac:dyDescent="0.35">
      <c r="B8" s="159" t="s">
        <v>420</v>
      </c>
      <c r="C8" s="76">
        <f>('Historical '!D41+'Historical '!D43)/('Historical '!D30+'Historical '!D31+'Historical '!D32)</f>
        <v>0.30454650905112118</v>
      </c>
      <c r="D8" s="76">
        <f>('Historical '!E41+'Historical '!E43)/('Historical '!E30+'Historical '!E31+'Historical '!E32)</f>
        <v>0.22186779124709005</v>
      </c>
      <c r="E8" s="76">
        <f>('Historical '!F41+'Historical '!F43)/('Historical '!F30+'Historical '!F31+'Historical '!F32)</f>
        <v>0.16565581464243845</v>
      </c>
      <c r="F8" s="76">
        <f>('Historical '!G41+'Historical '!G43)/('Historical '!G30+'Historical '!G31+'Historical '!G32)</f>
        <v>0.18893101748951535</v>
      </c>
      <c r="G8" s="76">
        <f>('Historical '!H41+'Historical '!H43)/('Historical '!H30+'Historical '!H31+'Historical '!H32)</f>
        <v>0.14685801413402544</v>
      </c>
    </row>
    <row r="9" spans="2:15" x14ac:dyDescent="0.35">
      <c r="B9" s="2"/>
      <c r="D9" s="165"/>
      <c r="E9" s="165"/>
      <c r="F9" s="165"/>
      <c r="G9" s="165"/>
    </row>
    <row r="11" spans="2:15" x14ac:dyDescent="0.35">
      <c r="B11" s="163" t="s">
        <v>415</v>
      </c>
      <c r="C11" s="164"/>
      <c r="D11" s="164"/>
      <c r="E11" s="164"/>
      <c r="F11" s="164"/>
      <c r="G11" s="164"/>
      <c r="H11" s="164"/>
      <c r="I11" s="164"/>
      <c r="J11" s="164"/>
    </row>
    <row r="12" spans="2:15" x14ac:dyDescent="0.35">
      <c r="B12" s="163" t="s">
        <v>598</v>
      </c>
      <c r="C12" s="164"/>
      <c r="D12" s="164"/>
      <c r="E12" s="164"/>
      <c r="F12" s="164"/>
      <c r="G12" s="164"/>
      <c r="H12" s="164"/>
      <c r="I12" s="164"/>
      <c r="J12" s="164"/>
    </row>
    <row r="13" spans="2:15" x14ac:dyDescent="0.35">
      <c r="B13" s="163" t="s">
        <v>597</v>
      </c>
      <c r="C13" s="164"/>
      <c r="D13" s="164"/>
      <c r="E13" s="164"/>
      <c r="F13" s="164"/>
      <c r="G13" s="164"/>
      <c r="H13" s="164"/>
      <c r="I13" s="164"/>
      <c r="J13" s="164"/>
    </row>
    <row r="14" spans="2:15" x14ac:dyDescent="0.35">
      <c r="B14" s="2"/>
    </row>
    <row r="15" spans="2:15" ht="15" thickBot="1" x14ac:dyDescent="0.4">
      <c r="B15" s="113" t="s">
        <v>425</v>
      </c>
      <c r="C15" s="113"/>
      <c r="D15" s="113"/>
      <c r="E15" s="113"/>
      <c r="F15" s="113"/>
      <c r="G15" s="113"/>
      <c r="H15" s="113"/>
      <c r="I15" s="113"/>
      <c r="J15" s="113"/>
      <c r="K15" s="113"/>
      <c r="L15" s="113"/>
      <c r="M15" s="113"/>
      <c r="N15" s="113"/>
      <c r="O15" s="113"/>
    </row>
    <row r="17" spans="2:10" ht="15" thickBot="1" x14ac:dyDescent="0.4">
      <c r="C17" s="161" t="s">
        <v>596</v>
      </c>
      <c r="D17" s="161" t="s">
        <v>421</v>
      </c>
      <c r="E17" s="161" t="s">
        <v>422</v>
      </c>
      <c r="F17" s="161" t="s">
        <v>423</v>
      </c>
      <c r="G17" s="161" t="s">
        <v>424</v>
      </c>
    </row>
    <row r="18" spans="2:10" x14ac:dyDescent="0.35">
      <c r="B18" s="159" t="s">
        <v>426</v>
      </c>
      <c r="C18" s="69">
        <f>'Historical '!D9/'Historical '!D7</f>
        <v>0.41135563791268842</v>
      </c>
      <c r="D18" s="69">
        <f>'Historical '!E9/'Historical '!E7</f>
        <v>0.26719790933891058</v>
      </c>
      <c r="E18" s="69">
        <f>'Historical '!F9/'Historical '!F7</f>
        <v>0.20079322503505903</v>
      </c>
      <c r="F18" s="69">
        <f>'Historical '!G9/'Historical '!G7</f>
        <v>0.21427190526913958</v>
      </c>
      <c r="G18" s="69">
        <f>'Historical '!H9/'Historical '!H7</f>
        <v>0.26149812910264386</v>
      </c>
    </row>
    <row r="19" spans="2:10" x14ac:dyDescent="0.35">
      <c r="B19" s="159" t="s">
        <v>427</v>
      </c>
      <c r="C19" s="69">
        <f>'Historical '!D11/'Historical '!D7</f>
        <v>0.26024826203499546</v>
      </c>
      <c r="D19" s="69">
        <f>'Historical '!E11/'Historical '!E7</f>
        <v>0.13272982517678361</v>
      </c>
      <c r="E19" s="69">
        <f>'Historical '!F11/'Historical '!F7</f>
        <v>9.708009022790777E-2</v>
      </c>
      <c r="F19" s="69">
        <f>'Historical '!G11/'Historical '!G7</f>
        <v>0.11575985834517957</v>
      </c>
      <c r="G19" s="69">
        <f>'Historical '!H11/'Historical '!H7</f>
        <v>0.14798160109802735</v>
      </c>
    </row>
    <row r="20" spans="2:10" x14ac:dyDescent="0.35">
      <c r="B20" s="159" t="s">
        <v>428</v>
      </c>
      <c r="C20" s="69">
        <f>'Historical '!D17/'Historical '!D7</f>
        <v>0.17113240711550218</v>
      </c>
      <c r="D20" s="69">
        <f>'Historical '!E17/'Historical '!E7</f>
        <v>3.3183730165464852E-2</v>
      </c>
      <c r="E20" s="69">
        <f>'Historical '!F17/'Historical '!F7</f>
        <v>-2.1423368197289364E-2</v>
      </c>
      <c r="F20" s="69">
        <f>'Historical '!G17/'Historical '!G7</f>
        <v>1.4522483520483001E-2</v>
      </c>
      <c r="G20" s="69">
        <f>'Historical '!H17/'Historical '!H7</f>
        <v>4.6893352346003031E-2</v>
      </c>
    </row>
    <row r="21" spans="2:10" x14ac:dyDescent="0.35">
      <c r="B21" s="159" t="s">
        <v>429</v>
      </c>
      <c r="C21" s="69">
        <f>'Historical '!D17/(('Historical '!C46+'Historical '!D46)/2)</f>
        <v>0.15864287341996253</v>
      </c>
      <c r="D21" s="69">
        <f>'Historical '!E17/(('Historical '!D46+'Historical '!E46)/2)</f>
        <v>2.8443472457565427E-2</v>
      </c>
      <c r="E21" s="69">
        <f>'Historical '!F17/(('Historical '!E46+'Historical '!F46)/2)</f>
        <v>-1.7701595181033911E-2</v>
      </c>
      <c r="F21" s="69">
        <f>'Historical '!G17/(('Historical '!F46+'Historical '!G46)/2)</f>
        <v>1.1651794974402057E-2</v>
      </c>
      <c r="G21" s="69">
        <f>'Historical '!H17/(('Historical '!G46+'Historical '!H46)/2)</f>
        <v>3.8064091114758537E-2</v>
      </c>
    </row>
    <row r="22" spans="2:10" x14ac:dyDescent="0.35">
      <c r="B22" s="159" t="s">
        <v>59</v>
      </c>
      <c r="C22" s="69">
        <f>'Historical '!D17/('Historical '!D27+'Historical '!D28)</f>
        <v>0.36480436031758684</v>
      </c>
      <c r="D22" s="69">
        <f>'Historical '!E17/('Historical '!E27+'Historical '!E28)</f>
        <v>7.8339013271945535E-2</v>
      </c>
      <c r="E22" s="69">
        <f>'Historical '!F17/('Historical '!F27+'Historical '!F28)</f>
        <v>-5.3344591276260407E-2</v>
      </c>
      <c r="F22" s="69">
        <f>'Historical '!G17/('Historical '!G27+'Historical '!G28)</f>
        <v>3.4811811784253063E-2</v>
      </c>
      <c r="G22" s="69">
        <f>'Historical '!H17/('Historical '!H27+'Historical '!H28)</f>
        <v>0.10654859928754358</v>
      </c>
    </row>
    <row r="23" spans="2:10" x14ac:dyDescent="0.35">
      <c r="B23" s="159" t="s">
        <v>430</v>
      </c>
      <c r="C23" s="69">
        <f>('Historical '!D15+'Historical '!D12)/('Historical '!D46-'Historical '!D30-'Historical '!D31-'Historical '!D32)</f>
        <v>0.29309359641637761</v>
      </c>
      <c r="D23" s="69">
        <f>('Historical '!E15+'Historical '!E12)/('Historical '!E46-'Historical '!E30-'Historical '!E31-'Historical '!E32)</f>
        <v>0.13051629430805095</v>
      </c>
      <c r="E23" s="69">
        <f>('Historical '!F15+'Historical '!F12)/('Historical '!F46-'Historical '!F30-'Historical '!F31-'Historical '!F32)</f>
        <v>3.5510301930773203E-2</v>
      </c>
      <c r="F23" s="69">
        <f>('Historical '!G15+'Historical '!G12)/('Historical '!G46-'Historical '!G30-'Historical '!G31-'Historical '!G32)</f>
        <v>8.4711310406565141E-2</v>
      </c>
      <c r="G23" s="69">
        <f>('Historical '!H15+'Historical '!H12)/('Historical '!H46-'Historical '!H30-'Historical '!H31-'Historical '!H32)</f>
        <v>0.11891971049193539</v>
      </c>
    </row>
    <row r="24" spans="2:10" x14ac:dyDescent="0.35">
      <c r="B24" s="2"/>
      <c r="D24" s="165"/>
      <c r="E24" s="165"/>
      <c r="F24" s="165"/>
      <c r="G24" s="165"/>
    </row>
    <row r="26" spans="2:10" x14ac:dyDescent="0.35">
      <c r="B26" s="163" t="s">
        <v>415</v>
      </c>
      <c r="C26" s="163"/>
      <c r="D26" s="163"/>
      <c r="E26" s="163"/>
      <c r="F26" s="163"/>
      <c r="G26" s="163"/>
      <c r="H26" s="163"/>
      <c r="I26" s="163"/>
      <c r="J26" s="163"/>
    </row>
    <row r="27" spans="2:10" x14ac:dyDescent="0.35">
      <c r="B27" s="163" t="s">
        <v>438</v>
      </c>
      <c r="C27" s="163"/>
      <c r="D27" s="163"/>
      <c r="E27" s="163"/>
      <c r="F27" s="163"/>
      <c r="G27" s="163"/>
      <c r="H27" s="163"/>
      <c r="I27" s="163"/>
      <c r="J27" s="163"/>
    </row>
    <row r="28" spans="2:10" x14ac:dyDescent="0.35">
      <c r="B28" s="163" t="s">
        <v>439</v>
      </c>
      <c r="C28" s="163"/>
      <c r="D28" s="163"/>
      <c r="E28" s="163"/>
      <c r="F28" s="163"/>
      <c r="G28" s="163"/>
      <c r="H28" s="163"/>
      <c r="I28" s="163"/>
      <c r="J28" s="163"/>
    </row>
    <row r="29" spans="2:10" x14ac:dyDescent="0.35">
      <c r="B29" s="163" t="s">
        <v>440</v>
      </c>
      <c r="C29" s="163"/>
      <c r="D29" s="163"/>
      <c r="E29" s="163"/>
      <c r="F29" s="163"/>
      <c r="G29" s="163"/>
      <c r="H29" s="163"/>
      <c r="I29" s="163"/>
      <c r="J29" s="163"/>
    </row>
    <row r="30" spans="2:10" x14ac:dyDescent="0.35">
      <c r="B30" s="163" t="s">
        <v>441</v>
      </c>
      <c r="C30" s="163"/>
      <c r="D30" s="163"/>
      <c r="E30" s="163"/>
      <c r="F30" s="163"/>
      <c r="G30" s="163"/>
      <c r="H30" s="163"/>
      <c r="I30" s="163"/>
      <c r="J30" s="163"/>
    </row>
    <row r="31" spans="2:10" x14ac:dyDescent="0.35">
      <c r="B31" s="163" t="s">
        <v>442</v>
      </c>
      <c r="C31" s="163"/>
      <c r="D31" s="163"/>
      <c r="E31" s="163"/>
      <c r="F31" s="163"/>
      <c r="G31" s="163"/>
      <c r="H31" s="163"/>
      <c r="I31" s="163"/>
      <c r="J31" s="163"/>
    </row>
    <row r="32" spans="2:10" x14ac:dyDescent="0.35">
      <c r="B32" s="163" t="s">
        <v>443</v>
      </c>
      <c r="C32" s="163"/>
      <c r="D32" s="163"/>
      <c r="E32" s="163"/>
      <c r="F32" s="163"/>
      <c r="G32" s="163"/>
      <c r="H32" s="163"/>
      <c r="I32" s="163"/>
      <c r="J32" s="163"/>
    </row>
    <row r="34" spans="2:15" ht="15" thickBot="1" x14ac:dyDescent="0.4">
      <c r="B34" s="113" t="s">
        <v>444</v>
      </c>
      <c r="C34" s="113"/>
      <c r="D34" s="113"/>
      <c r="E34" s="113"/>
      <c r="F34" s="113"/>
      <c r="G34" s="113"/>
      <c r="H34" s="113"/>
      <c r="I34" s="113"/>
      <c r="J34" s="113"/>
      <c r="K34" s="113"/>
      <c r="L34" s="113"/>
      <c r="M34" s="113"/>
      <c r="N34" s="113"/>
      <c r="O34" s="113"/>
    </row>
    <row r="36" spans="2:15" ht="15" thickBot="1" x14ac:dyDescent="0.4">
      <c r="C36" s="113" t="s">
        <v>596</v>
      </c>
      <c r="D36" s="161" t="s">
        <v>421</v>
      </c>
      <c r="E36" s="161" t="s">
        <v>422</v>
      </c>
      <c r="F36" s="161" t="s">
        <v>423</v>
      </c>
      <c r="G36" s="161" t="s">
        <v>424</v>
      </c>
    </row>
    <row r="37" spans="2:15" x14ac:dyDescent="0.35">
      <c r="B37" s="159" t="s">
        <v>47</v>
      </c>
      <c r="C37" s="160">
        <f>[3]HistoricalFS!D9/AVERAGE([3]HistoricalFS!C65:D65)</f>
        <v>3.4982665814218312</v>
      </c>
      <c r="D37" s="160">
        <f>[3]HistoricalFS!E9/AVERAGE([3]HistoricalFS!D65:E65)</f>
        <v>3.4546657042463886</v>
      </c>
      <c r="E37" s="160">
        <f>[3]HistoricalFS!F9/AVERAGE([3]HistoricalFS!E65:F65)</f>
        <v>3.5367349200813649</v>
      </c>
      <c r="F37" s="160">
        <f>[3]HistoricalFS!G9/AVERAGE([3]HistoricalFS!F65:G65)</f>
        <v>3.6633527631951588</v>
      </c>
      <c r="G37" s="160">
        <f>[3]HistoricalFS!H9/AVERAGE([3]HistoricalFS!G65:H65)</f>
        <v>3.7333917252727482</v>
      </c>
    </row>
    <row r="38" spans="2:15" x14ac:dyDescent="0.35">
      <c r="B38" s="159" t="s">
        <v>431</v>
      </c>
      <c r="C38" s="76">
        <f>[3]HistoricalFS!D6/AVERAGE([3]HistoricalFS!C64:D64)</f>
        <v>22.395680398709832</v>
      </c>
      <c r="D38" s="76">
        <f>[3]HistoricalFS!E6/AVERAGE([3]HistoricalFS!D64:E64)</f>
        <v>23.737476266444009</v>
      </c>
      <c r="E38" s="76">
        <f>[3]HistoricalFS!F6/AVERAGE([3]HistoricalFS!E64:F64)</f>
        <v>31.564549262883443</v>
      </c>
      <c r="F38" s="76">
        <f>[3]HistoricalFS!G6/AVERAGE([3]HistoricalFS!F64:G64)</f>
        <v>37.929587914877224</v>
      </c>
      <c r="G38" s="76">
        <f>[3]HistoricalFS!H6/AVERAGE([3]HistoricalFS!G64:H64)</f>
        <v>45.620729196861532</v>
      </c>
    </row>
    <row r="39" spans="2:15" x14ac:dyDescent="0.35">
      <c r="B39" s="159" t="s">
        <v>432</v>
      </c>
      <c r="C39" s="76">
        <f>[3]HistoricalFS!D6/[3]HistoricalFS!D69</f>
        <v>0.86381179602825808</v>
      </c>
      <c r="D39" s="76">
        <f>[3]HistoricalFS!E6/[3]HistoricalFS!E69</f>
        <v>0.85268496261577531</v>
      </c>
      <c r="E39" s="76">
        <f>[3]HistoricalFS!F6/[3]HistoricalFS!F69</f>
        <v>0.85094768373474949</v>
      </c>
      <c r="F39" s="76">
        <f>[3]HistoricalFS!G6/[3]HistoricalFS!G69</f>
        <v>0.79337702967901758</v>
      </c>
      <c r="G39" s="76">
        <f>[3]HistoricalFS!H6/[3]HistoricalFS!H69</f>
        <v>0.78289542687642188</v>
      </c>
    </row>
    <row r="40" spans="2:15" x14ac:dyDescent="0.35">
      <c r="B40" s="159" t="s">
        <v>433</v>
      </c>
      <c r="C40" s="76">
        <f>[3]HistoricalFS!D6/([3]HistoricalFS!D67-SUM([3]HistoricalFS!D54:D55))</f>
        <v>6.6021005771039265</v>
      </c>
      <c r="D40" s="76">
        <f>[3]HistoricalFS!E6/([3]HistoricalFS!E67-SUM([3]HistoricalFS!E54:E55))</f>
        <v>6.992324762095496</v>
      </c>
      <c r="E40" s="76">
        <f>[3]HistoricalFS!F6/([3]HistoricalFS!F67-SUM([3]HistoricalFS!F54:F55))</f>
        <v>7.368892235824327</v>
      </c>
      <c r="F40" s="76">
        <f>[3]HistoricalFS!G6/([3]HistoricalFS!G67-SUM([3]HistoricalFS!G54:G55))</f>
        <v>7.1587609137584618</v>
      </c>
      <c r="G40" s="76">
        <f>[3]HistoricalFS!H6/([3]HistoricalFS!H67-SUM([3]HistoricalFS!H54:H55))</f>
        <v>9.2149594071684096</v>
      </c>
    </row>
    <row r="41" spans="2:15" x14ac:dyDescent="0.35">
      <c r="B41" s="2"/>
      <c r="D41" s="165"/>
      <c r="E41" s="165"/>
      <c r="F41" s="165"/>
      <c r="G41" s="165"/>
    </row>
    <row r="43" spans="2:15" x14ac:dyDescent="0.35">
      <c r="B43" s="163" t="s">
        <v>415</v>
      </c>
      <c r="C43" s="163"/>
      <c r="D43" s="163"/>
      <c r="E43" s="163"/>
      <c r="F43" s="163"/>
      <c r="G43" s="163"/>
      <c r="H43" s="163"/>
      <c r="I43" s="163"/>
      <c r="J43" s="163"/>
      <c r="K43" s="163"/>
    </row>
    <row r="44" spans="2:15" x14ac:dyDescent="0.35">
      <c r="B44" s="163" t="s">
        <v>445</v>
      </c>
      <c r="C44" s="163"/>
      <c r="D44" s="163"/>
      <c r="E44" s="163"/>
      <c r="F44" s="163"/>
      <c r="G44" s="163"/>
      <c r="H44" s="163"/>
      <c r="I44" s="163"/>
      <c r="J44" s="163"/>
      <c r="K44" s="163"/>
    </row>
    <row r="45" spans="2:15" x14ac:dyDescent="0.35">
      <c r="B45" s="163" t="s">
        <v>446</v>
      </c>
      <c r="C45" s="163"/>
      <c r="D45" s="163"/>
      <c r="E45" s="163"/>
      <c r="F45" s="163"/>
      <c r="G45" s="163"/>
      <c r="H45" s="163"/>
      <c r="I45" s="163"/>
      <c r="J45" s="163"/>
      <c r="K45" s="163"/>
    </row>
    <row r="46" spans="2:15" x14ac:dyDescent="0.35">
      <c r="B46" s="163" t="s">
        <v>447</v>
      </c>
      <c r="C46" s="163"/>
      <c r="D46" s="163"/>
      <c r="E46" s="163"/>
      <c r="F46" s="163"/>
      <c r="G46" s="163"/>
      <c r="H46" s="163"/>
      <c r="I46" s="163"/>
      <c r="J46" s="163"/>
      <c r="K46" s="163"/>
    </row>
    <row r="47" spans="2:15" x14ac:dyDescent="0.35">
      <c r="B47" s="163" t="s">
        <v>448</v>
      </c>
      <c r="C47" s="163"/>
      <c r="D47" s="163"/>
      <c r="E47" s="163"/>
      <c r="F47" s="163"/>
      <c r="G47" s="163"/>
      <c r="H47" s="163"/>
      <c r="I47" s="163"/>
      <c r="J47" s="163"/>
      <c r="K47" s="163"/>
    </row>
    <row r="49" spans="2:15" ht="15" thickBot="1" x14ac:dyDescent="0.4">
      <c r="B49" s="113" t="s">
        <v>434</v>
      </c>
      <c r="C49" s="113"/>
      <c r="D49" s="113"/>
      <c r="E49" s="113"/>
      <c r="F49" s="113"/>
      <c r="G49" s="113"/>
      <c r="H49" s="113"/>
      <c r="I49" s="113"/>
      <c r="J49" s="113"/>
      <c r="K49" s="113"/>
      <c r="L49" s="113"/>
      <c r="M49" s="113"/>
      <c r="N49" s="113"/>
      <c r="O49" s="113"/>
    </row>
    <row r="51" spans="2:15" ht="15" thickBot="1" x14ac:dyDescent="0.4">
      <c r="C51" s="161" t="s">
        <v>596</v>
      </c>
      <c r="D51" s="161" t="s">
        <v>421</v>
      </c>
      <c r="E51" s="161" t="s">
        <v>422</v>
      </c>
      <c r="F51" s="161" t="s">
        <v>423</v>
      </c>
      <c r="G51" s="161" t="s">
        <v>424</v>
      </c>
    </row>
    <row r="52" spans="2:15" x14ac:dyDescent="0.35">
      <c r="B52" s="159" t="s">
        <v>435</v>
      </c>
      <c r="C52" s="76">
        <f>'Historical '!D29/('Historical '!D27+'Historical '!D28)</f>
        <v>0.6602529083463704</v>
      </c>
      <c r="D52" s="76">
        <f>'Historical '!E29/('Historical '!E27+'Historical '!E28)</f>
        <v>0.82354792927191045</v>
      </c>
      <c r="E52" s="76">
        <f>'Historical '!F29/('Historical '!F27+'Historical '!F28)</f>
        <v>0.946177007719608</v>
      </c>
      <c r="F52" s="76">
        <f>'Historical '!G29/('Historical '!G27+'Historical '!G28)</f>
        <v>1.0398314658071992</v>
      </c>
      <c r="G52" s="76">
        <f>'Historical '!H29/('Historical '!H27+'Historical '!H28)</f>
        <v>0.90421654995490242</v>
      </c>
    </row>
    <row r="53" spans="2:15" x14ac:dyDescent="0.35">
      <c r="B53" s="159" t="s">
        <v>436</v>
      </c>
      <c r="C53" s="76">
        <f>('Historical '!D15+'Historical '!D12)/'Historical '!D12</f>
        <v>10.195355351323643</v>
      </c>
      <c r="D53" s="76">
        <f>('Historical '!E15+'Historical '!E12)/'Historical '!E12</f>
        <v>3.895060885579567</v>
      </c>
      <c r="E53" s="76">
        <f>('Historical '!F15+'Historical '!F12)/'Historical '!F12</f>
        <v>0.84721554377781394</v>
      </c>
      <c r="F53" s="76">
        <f>('Historical '!G15+'Historical '!G12)/'Historical '!G12</f>
        <v>2.1460192481899472</v>
      </c>
      <c r="G53" s="76">
        <f>('Historical '!H15+'Historical '!H12)/'Historical '!H12</f>
        <v>3.2280670177171675</v>
      </c>
    </row>
    <row r="54" spans="2:15" x14ac:dyDescent="0.35">
      <c r="B54" s="2"/>
      <c r="D54" s="165"/>
      <c r="E54" s="165"/>
      <c r="F54" s="165"/>
      <c r="G54" s="165"/>
    </row>
    <row r="55" spans="2:15" x14ac:dyDescent="0.35">
      <c r="B55" s="2"/>
      <c r="D55" s="165"/>
      <c r="E55" s="165"/>
      <c r="F55" s="165"/>
      <c r="G55" s="165"/>
    </row>
    <row r="57" spans="2:15" x14ac:dyDescent="0.35">
      <c r="B57" s="163" t="s">
        <v>415</v>
      </c>
      <c r="C57" s="163"/>
      <c r="D57" s="163"/>
      <c r="E57" s="163"/>
      <c r="F57" s="163"/>
      <c r="G57" s="163"/>
      <c r="H57" s="163"/>
      <c r="I57" s="163"/>
      <c r="J57" s="163"/>
      <c r="K57" s="163"/>
      <c r="L57" s="163"/>
      <c r="M57" s="163"/>
    </row>
    <row r="58" spans="2:15" x14ac:dyDescent="0.35">
      <c r="B58" s="163" t="s">
        <v>449</v>
      </c>
      <c r="C58" s="163"/>
      <c r="D58" s="163"/>
      <c r="E58" s="163"/>
      <c r="F58" s="163"/>
      <c r="G58" s="163"/>
      <c r="H58" s="163"/>
      <c r="I58" s="163"/>
      <c r="J58" s="163"/>
      <c r="K58" s="163"/>
      <c r="L58" s="163"/>
      <c r="M58" s="163"/>
    </row>
    <row r="59" spans="2:15" x14ac:dyDescent="0.35">
      <c r="B59" s="163" t="s">
        <v>450</v>
      </c>
      <c r="C59" s="163"/>
      <c r="D59" s="163"/>
      <c r="E59" s="163"/>
      <c r="F59" s="163"/>
      <c r="G59" s="163"/>
      <c r="H59" s="163"/>
      <c r="I59" s="163"/>
      <c r="J59" s="163"/>
      <c r="K59" s="163"/>
      <c r="L59" s="163"/>
      <c r="M59" s="163"/>
    </row>
    <row r="62" spans="2:15" ht="15" thickBot="1" x14ac:dyDescent="0.4">
      <c r="B62" s="113" t="s">
        <v>425</v>
      </c>
      <c r="C62" s="113"/>
      <c r="D62" s="113"/>
      <c r="E62" s="113"/>
      <c r="F62" s="113"/>
      <c r="G62" s="113"/>
      <c r="H62" s="113"/>
      <c r="I62" s="113"/>
      <c r="J62" s="113"/>
      <c r="K62" s="113"/>
      <c r="L62" s="113"/>
      <c r="M62" s="113"/>
      <c r="N62" s="113"/>
      <c r="O62" s="113"/>
    </row>
    <row r="64" spans="2:15" ht="15" thickBot="1" x14ac:dyDescent="0.4">
      <c r="C64" s="113"/>
      <c r="D64" s="161" t="s">
        <v>596</v>
      </c>
      <c r="E64" s="161" t="s">
        <v>421</v>
      </c>
      <c r="F64" s="161" t="s">
        <v>422</v>
      </c>
      <c r="G64" s="161" t="s">
        <v>423</v>
      </c>
      <c r="H64" s="161" t="s">
        <v>424</v>
      </c>
    </row>
    <row r="65" spans="2:13" x14ac:dyDescent="0.35">
      <c r="B65" s="159" t="s">
        <v>57</v>
      </c>
      <c r="D65" s="160">
        <f>[3]HistoricalFS!D41</f>
        <v>34.184328174895612</v>
      </c>
      <c r="E65" s="160">
        <f>[3]HistoricalFS!E41</f>
        <v>6.6074949883402336</v>
      </c>
      <c r="F65" s="160">
        <f>[3]HistoricalFS!F41</f>
        <v>-3.9328794008090657</v>
      </c>
      <c r="G65" s="160">
        <f>[3]HistoricalFS!G41</f>
        <v>2.5423799415228037</v>
      </c>
      <c r="H65" s="160">
        <f>[3]HistoricalFS!H41</f>
        <v>8.7201666199383219</v>
      </c>
    </row>
    <row r="66" spans="2:13" x14ac:dyDescent="0.35">
      <c r="B66" s="159" t="s">
        <v>437</v>
      </c>
      <c r="D66" s="76">
        <f>'[3]Data Sheet'!$B$8/[3]HistoricalFS!D41</f>
        <v>5.4782413462063566</v>
      </c>
      <c r="E66" s="76">
        <f>'[3]Data Sheet'!$B$8/[3]HistoricalFS!E41</f>
        <v>28.342057062542125</v>
      </c>
      <c r="F66" s="76">
        <f>'[3]Data Sheet'!$B$8/[3]HistoricalFS!F41</f>
        <v>-47.616512207690661</v>
      </c>
      <c r="G66" s="76">
        <f>'[3]Data Sheet'!$B$8/[3]HistoricalFS!G41</f>
        <v>73.659328781453226</v>
      </c>
      <c r="H66" s="76">
        <f>'[3]Data Sheet'!$B$8/[3]HistoricalFS!H41</f>
        <v>21.475507081689752</v>
      </c>
    </row>
    <row r="67" spans="2:13" x14ac:dyDescent="0.35">
      <c r="B67" s="159" t="s">
        <v>17</v>
      </c>
      <c r="D67" s="77">
        <f>'[3]Data Sheet'!C31/[3]HistoricalFS!D36</f>
        <v>0.14918015431149534</v>
      </c>
      <c r="E67" s="77">
        <f>'[3]Data Sheet'!D31/[3]HistoricalFS!E36</f>
        <v>0.54442965320388481</v>
      </c>
      <c r="F67" s="77">
        <f>'[3]Data Sheet'!E31/[3]HistoricalFS!F36</f>
        <v>-0.91469179833021408</v>
      </c>
      <c r="G67" s="77">
        <f>'[3]Data Sheet'!F31/[3]HistoricalFS!G36</f>
        <v>1.4149625998021325</v>
      </c>
      <c r="H67" s="77">
        <f>'[3]Data Sheet'!G31/[3]HistoricalFS!H36</f>
        <v>0.45837245150112704</v>
      </c>
    </row>
    <row r="68" spans="2:13" x14ac:dyDescent="0.35">
      <c r="B68" s="2"/>
      <c r="C68" t="s">
        <v>599</v>
      </c>
      <c r="D68" s="77"/>
      <c r="E68" s="77"/>
      <c r="F68" s="77"/>
      <c r="G68" s="77"/>
      <c r="H68" s="77"/>
    </row>
    <row r="69" spans="2:13" x14ac:dyDescent="0.35">
      <c r="B69" s="163" t="s">
        <v>454</v>
      </c>
      <c r="C69" s="163"/>
      <c r="D69" s="163"/>
      <c r="E69" s="163"/>
      <c r="F69" s="163"/>
      <c r="G69" s="163"/>
      <c r="H69" s="163"/>
      <c r="I69" s="163"/>
      <c r="J69" s="163"/>
      <c r="K69" s="163"/>
      <c r="L69" s="163"/>
      <c r="M69" s="163"/>
    </row>
    <row r="70" spans="2:13" x14ac:dyDescent="0.35">
      <c r="B70" s="163" t="s">
        <v>451</v>
      </c>
      <c r="C70" s="163"/>
      <c r="D70" s="163"/>
      <c r="E70" s="163"/>
      <c r="F70" s="163"/>
      <c r="G70" s="163"/>
      <c r="H70" s="163"/>
      <c r="I70" s="163"/>
      <c r="J70" s="163"/>
      <c r="K70" s="163"/>
      <c r="L70" s="163"/>
      <c r="M70" s="163"/>
    </row>
    <row r="71" spans="2:13" x14ac:dyDescent="0.35">
      <c r="B71" s="163" t="s">
        <v>452</v>
      </c>
      <c r="C71" s="163"/>
      <c r="D71" s="163"/>
      <c r="E71" s="163"/>
      <c r="F71" s="163"/>
      <c r="G71" s="163"/>
      <c r="H71" s="163"/>
      <c r="I71" s="163"/>
      <c r="J71" s="163"/>
      <c r="K71" s="163"/>
      <c r="L71" s="163"/>
      <c r="M71" s="163"/>
    </row>
    <row r="72" spans="2:13" x14ac:dyDescent="0.35">
      <c r="B72" s="163" t="s">
        <v>453</v>
      </c>
      <c r="C72" s="163"/>
      <c r="D72" s="163"/>
      <c r="E72" s="163"/>
      <c r="F72" s="163"/>
      <c r="G72" s="163"/>
      <c r="H72" s="163"/>
      <c r="I72" s="163"/>
      <c r="J72" s="163"/>
      <c r="K72" s="163"/>
      <c r="L72" s="163"/>
      <c r="M72" s="163"/>
    </row>
  </sheetData>
  <mergeCells count="1">
    <mergeCell ref="B1:J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C397-5254-41C9-BC45-F5790701CA70}">
  <dimension ref="B1:G42"/>
  <sheetViews>
    <sheetView showGridLines="0" topLeftCell="B34" workbookViewId="0">
      <selection activeCell="G42" sqref="G42"/>
    </sheetView>
  </sheetViews>
  <sheetFormatPr defaultRowHeight="14.5" x14ac:dyDescent="0.35"/>
  <cols>
    <col min="1" max="1" width="1.90625" customWidth="1"/>
    <col min="6" max="7" width="12.81640625" bestFit="1" customWidth="1"/>
  </cols>
  <sheetData>
    <row r="1" spans="2:7" ht="14.4" customHeight="1" x14ac:dyDescent="0.35">
      <c r="B1" s="238" t="s">
        <v>507</v>
      </c>
      <c r="C1" s="238"/>
      <c r="D1" s="238"/>
      <c r="E1" s="238"/>
      <c r="F1" s="238"/>
      <c r="G1" s="238"/>
    </row>
    <row r="2" spans="2:7" ht="14.4" customHeight="1" x14ac:dyDescent="0.35">
      <c r="B2" s="238"/>
      <c r="C2" s="238"/>
      <c r="D2" s="238"/>
      <c r="E2" s="238"/>
      <c r="F2" s="238"/>
      <c r="G2" s="238"/>
    </row>
    <row r="4" spans="2:7" x14ac:dyDescent="0.35">
      <c r="B4" s="176" t="s">
        <v>508</v>
      </c>
      <c r="C4" s="176"/>
      <c r="D4" s="176"/>
      <c r="E4" s="176"/>
      <c r="F4" s="177" t="s">
        <v>423</v>
      </c>
      <c r="G4" s="177" t="s">
        <v>424</v>
      </c>
    </row>
    <row r="5" spans="2:7" ht="6" customHeight="1" x14ac:dyDescent="0.35">
      <c r="B5" s="2"/>
      <c r="C5" s="2"/>
      <c r="D5" s="2"/>
      <c r="E5" s="2"/>
      <c r="F5" s="135"/>
      <c r="G5" s="135"/>
    </row>
    <row r="6" spans="2:7" x14ac:dyDescent="0.35">
      <c r="B6" s="40" t="s">
        <v>126</v>
      </c>
      <c r="C6" s="40"/>
      <c r="D6" s="40"/>
      <c r="E6" s="40"/>
      <c r="F6" s="179">
        <f>'Historical '!G7</f>
        <v>218542.51</v>
      </c>
      <c r="G6" s="179">
        <f>'Historical '!H7</f>
        <v>232139.94</v>
      </c>
    </row>
    <row r="7" spans="2:7" x14ac:dyDescent="0.35">
      <c r="B7" s="47" t="s">
        <v>509</v>
      </c>
      <c r="C7" s="47"/>
      <c r="D7" s="47"/>
      <c r="E7" s="47"/>
      <c r="F7" s="178">
        <f>'Historical '!G41</f>
        <v>5260.06</v>
      </c>
      <c r="G7" s="178">
        <f>'Historical '!H41</f>
        <v>4916.8900000000003</v>
      </c>
    </row>
    <row r="8" spans="2:7" x14ac:dyDescent="0.35">
      <c r="B8" s="47" t="s">
        <v>245</v>
      </c>
      <c r="C8" s="47"/>
      <c r="D8" s="47"/>
      <c r="E8" s="47"/>
      <c r="F8" s="178">
        <f>'Historical '!G8</f>
        <v>171714.99000000002</v>
      </c>
      <c r="G8" s="178">
        <f>'Historical '!H8</f>
        <v>171435.78</v>
      </c>
    </row>
    <row r="9" spans="2:7" x14ac:dyDescent="0.35">
      <c r="B9" s="47" t="s">
        <v>510</v>
      </c>
      <c r="C9" s="47"/>
      <c r="D9" s="47"/>
      <c r="E9" s="47"/>
      <c r="F9" s="178">
        <f>'Historical '!G44</f>
        <v>61496.979999999996</v>
      </c>
      <c r="G9" s="178">
        <f>'Historical '!H44</f>
        <v>62223.64</v>
      </c>
    </row>
    <row r="10" spans="2:7" x14ac:dyDescent="0.35">
      <c r="B10" s="47" t="s">
        <v>331</v>
      </c>
      <c r="C10" s="47"/>
      <c r="D10" s="47"/>
      <c r="E10" s="47"/>
      <c r="F10" s="178">
        <f>'Historical '!G35</f>
        <v>150914.06</v>
      </c>
      <c r="G10" s="178">
        <f>'Historical '!H35</f>
        <v>179908.13</v>
      </c>
    </row>
    <row r="11" spans="2:7" x14ac:dyDescent="0.35">
      <c r="B11" s="47" t="s">
        <v>103</v>
      </c>
      <c r="C11" s="47"/>
      <c r="D11" s="47"/>
      <c r="E11" s="47"/>
      <c r="F11" s="178">
        <f>'Historical '!G46</f>
        <v>275458.57999999996</v>
      </c>
      <c r="G11" s="178">
        <f>'Historical '!H46</f>
        <v>296514.62</v>
      </c>
    </row>
    <row r="12" spans="2:7" x14ac:dyDescent="0.35">
      <c r="B12" s="47" t="s">
        <v>10</v>
      </c>
      <c r="C12" s="47"/>
      <c r="D12" s="47"/>
      <c r="E12" s="47"/>
      <c r="F12" s="178">
        <f>'Historical '!G13</f>
        <v>10421.33</v>
      </c>
      <c r="G12" s="178">
        <f>'Historical '!H13</f>
        <v>11954.51</v>
      </c>
    </row>
    <row r="13" spans="2:7" x14ac:dyDescent="0.35">
      <c r="B13" s="47" t="s">
        <v>511</v>
      </c>
      <c r="C13" s="47"/>
      <c r="D13" s="47"/>
      <c r="E13" s="47"/>
      <c r="F13" s="178">
        <f>'Historical '!G10</f>
        <v>21529.07</v>
      </c>
      <c r="G13" s="178">
        <f>'Historical '!H10</f>
        <v>26351.72</v>
      </c>
    </row>
    <row r="14" spans="2:7" x14ac:dyDescent="0.35">
      <c r="B14" s="47" t="s">
        <v>173</v>
      </c>
      <c r="C14" s="47"/>
      <c r="D14" s="47"/>
      <c r="E14" s="47"/>
      <c r="F14" s="178">
        <f>'Historical '!G29</f>
        <v>94801.05</v>
      </c>
      <c r="G14" s="178">
        <f>'Historical '!H29</f>
        <v>92381.68</v>
      </c>
    </row>
    <row r="15" spans="2:7" x14ac:dyDescent="0.35">
      <c r="B15" s="47" t="s">
        <v>488</v>
      </c>
      <c r="C15" s="47"/>
      <c r="D15" s="47"/>
      <c r="E15" s="47"/>
      <c r="F15" s="178">
        <f>'Historical '!G17</f>
        <v>3173.7799999999916</v>
      </c>
      <c r="G15" s="178">
        <f>'Historical '!H17</f>
        <v>10885.820000000003</v>
      </c>
    </row>
    <row r="16" spans="2:7" x14ac:dyDescent="0.35">
      <c r="B16" s="47" t="s">
        <v>512</v>
      </c>
      <c r="C16" s="47"/>
      <c r="D16" s="47"/>
      <c r="E16" s="47"/>
      <c r="F16" s="178">
        <f>'Historical '!G62</f>
        <v>23138</v>
      </c>
      <c r="G16" s="178">
        <f>'Historical '!H62</f>
        <v>35064</v>
      </c>
    </row>
    <row r="18" spans="2:7" x14ac:dyDescent="0.35">
      <c r="B18" s="176" t="s">
        <v>513</v>
      </c>
      <c r="C18" s="176"/>
      <c r="D18" s="176"/>
      <c r="E18" s="176"/>
      <c r="F18" s="176"/>
      <c r="G18" s="176" t="s">
        <v>514</v>
      </c>
    </row>
    <row r="19" spans="2:7" ht="5.4" customHeight="1" x14ac:dyDescent="0.35"/>
    <row r="20" spans="2:7" x14ac:dyDescent="0.35">
      <c r="B20" s="40" t="s">
        <v>515</v>
      </c>
      <c r="C20" s="40"/>
      <c r="D20" s="40"/>
      <c r="E20" s="40"/>
      <c r="F20" s="180"/>
      <c r="G20" s="180">
        <f>(G7/G6)/(F7/F6)</f>
        <v>0.88000644576722509</v>
      </c>
    </row>
    <row r="21" spans="2:7" x14ac:dyDescent="0.35">
      <c r="B21" s="47" t="s">
        <v>516</v>
      </c>
      <c r="C21" s="47"/>
      <c r="D21" s="47"/>
      <c r="E21" s="47"/>
      <c r="F21" s="76"/>
      <c r="G21" s="76">
        <f>((F6-F8)/F6)/((G6-G8)/G6)</f>
        <v>0.81940129363232683</v>
      </c>
    </row>
    <row r="22" spans="2:7" x14ac:dyDescent="0.35">
      <c r="B22" s="47" t="s">
        <v>517</v>
      </c>
      <c r="C22" s="47"/>
      <c r="D22" s="47"/>
      <c r="E22" s="47"/>
      <c r="F22" s="76"/>
      <c r="G22" s="76">
        <f>(1-((G9+G10)/G11))/(1-((F9+F10)/F11))</f>
        <v>0.80131636162863362</v>
      </c>
    </row>
    <row r="23" spans="2:7" x14ac:dyDescent="0.35">
      <c r="B23" s="47" t="s">
        <v>518</v>
      </c>
      <c r="C23" s="47"/>
      <c r="D23" s="47"/>
      <c r="E23" s="47"/>
      <c r="F23" s="76"/>
      <c r="G23" s="76">
        <f>G6/F6</f>
        <v>1.0622186960330966</v>
      </c>
    </row>
    <row r="24" spans="2:7" x14ac:dyDescent="0.35">
      <c r="B24" s="47" t="s">
        <v>519</v>
      </c>
      <c r="C24" s="47"/>
      <c r="D24" s="47"/>
      <c r="E24" s="47"/>
      <c r="F24" s="76"/>
      <c r="G24" s="76">
        <f>(F12/(F12+F10))/(G12/(G10+G12))</f>
        <v>1.0366977155100088</v>
      </c>
    </row>
    <row r="25" spans="2:7" x14ac:dyDescent="0.35">
      <c r="B25" s="47" t="s">
        <v>520</v>
      </c>
      <c r="C25" s="47"/>
      <c r="D25" s="47"/>
      <c r="E25" s="47"/>
      <c r="F25" s="76"/>
      <c r="G25" s="76">
        <f>(G13/G6)/(F13/F6)</f>
        <v>1.1523111289347003</v>
      </c>
    </row>
    <row r="26" spans="2:7" x14ac:dyDescent="0.35">
      <c r="B26" s="47" t="s">
        <v>521</v>
      </c>
      <c r="C26" s="47"/>
      <c r="D26" s="47"/>
      <c r="E26" s="47"/>
      <c r="F26" s="76"/>
      <c r="G26" s="76">
        <f>(G14/G11)/(F14/F11)</f>
        <v>0.90527994835513537</v>
      </c>
    </row>
    <row r="27" spans="2:7" x14ac:dyDescent="0.35">
      <c r="B27" s="47" t="s">
        <v>522</v>
      </c>
      <c r="C27" s="47"/>
      <c r="D27" s="47"/>
      <c r="E27" s="47"/>
      <c r="F27" s="76"/>
      <c r="G27" s="76">
        <f>(G15-G16)/G11</f>
        <v>-8.1541274423500593E-2</v>
      </c>
    </row>
    <row r="29" spans="2:7" x14ac:dyDescent="0.35">
      <c r="B29" s="176" t="s">
        <v>523</v>
      </c>
      <c r="C29" s="176"/>
      <c r="D29" s="176"/>
      <c r="E29" s="176"/>
      <c r="F29" s="239" t="s">
        <v>524</v>
      </c>
      <c r="G29" s="239"/>
    </row>
    <row r="30" spans="2:7" ht="4.25" customHeight="1" x14ac:dyDescent="0.35">
      <c r="B30" s="2"/>
      <c r="C30" s="2"/>
      <c r="D30" s="2"/>
      <c r="E30" s="2"/>
      <c r="F30" s="135"/>
      <c r="G30" s="135"/>
    </row>
    <row r="31" spans="2:7" x14ac:dyDescent="0.35">
      <c r="B31" t="s">
        <v>525</v>
      </c>
      <c r="E31" s="40"/>
      <c r="F31" s="180"/>
      <c r="G31" s="181" t="s">
        <v>526</v>
      </c>
    </row>
    <row r="32" spans="2:7" x14ac:dyDescent="0.35">
      <c r="B32" s="47" t="s">
        <v>527</v>
      </c>
      <c r="C32" s="47"/>
      <c r="D32" s="47"/>
      <c r="E32" s="47"/>
      <c r="G32" s="182">
        <v>0.92</v>
      </c>
    </row>
    <row r="33" spans="2:7" x14ac:dyDescent="0.35">
      <c r="B33" s="47" t="s">
        <v>528</v>
      </c>
      <c r="C33" s="47"/>
      <c r="D33" s="47"/>
      <c r="E33" s="47"/>
      <c r="F33" s="76"/>
      <c r="G33" s="182">
        <v>0.52800000000000002</v>
      </c>
    </row>
    <row r="34" spans="2:7" x14ac:dyDescent="0.35">
      <c r="B34" s="47" t="s">
        <v>529</v>
      </c>
      <c r="C34" s="47"/>
      <c r="D34" s="47"/>
      <c r="E34" s="47"/>
      <c r="F34" s="76"/>
      <c r="G34" s="182">
        <v>0.40400000000000003</v>
      </c>
    </row>
    <row r="35" spans="2:7" x14ac:dyDescent="0.35">
      <c r="B35" s="47" t="s">
        <v>530</v>
      </c>
      <c r="C35" s="47"/>
      <c r="D35" s="47"/>
      <c r="E35" s="47"/>
      <c r="F35" s="76"/>
      <c r="G35" s="182">
        <v>0.89200000000000002</v>
      </c>
    </row>
    <row r="36" spans="2:7" x14ac:dyDescent="0.35">
      <c r="B36" s="47" t="s">
        <v>531</v>
      </c>
      <c r="C36" s="47"/>
      <c r="D36" s="47"/>
      <c r="E36" s="47"/>
      <c r="F36" s="76"/>
      <c r="G36" s="182">
        <v>0.115</v>
      </c>
    </row>
    <row r="37" spans="2:7" x14ac:dyDescent="0.35">
      <c r="B37" s="47" t="s">
        <v>532</v>
      </c>
      <c r="C37" s="47"/>
      <c r="D37" s="47"/>
      <c r="E37" s="47"/>
      <c r="F37" s="76"/>
      <c r="G37" s="182" t="s">
        <v>533</v>
      </c>
    </row>
    <row r="38" spans="2:7" x14ac:dyDescent="0.35">
      <c r="B38" s="47" t="s">
        <v>534</v>
      </c>
      <c r="C38" s="47"/>
      <c r="D38" s="47"/>
      <c r="E38" s="47"/>
      <c r="F38" s="76"/>
      <c r="G38" s="182">
        <v>4.6790000000000003</v>
      </c>
    </row>
    <row r="39" spans="2:7" x14ac:dyDescent="0.35">
      <c r="B39" s="47" t="s">
        <v>535</v>
      </c>
      <c r="C39" s="47"/>
      <c r="D39" s="47"/>
      <c r="E39" s="47"/>
      <c r="F39" s="76"/>
      <c r="G39" s="182" t="s">
        <v>536</v>
      </c>
    </row>
    <row r="40" spans="2:7" ht="15" thickBot="1" x14ac:dyDescent="0.4"/>
    <row r="41" spans="2:7" ht="15" thickBot="1" x14ac:dyDescent="0.4">
      <c r="B41" s="87" t="s">
        <v>537</v>
      </c>
      <c r="C41" s="87"/>
      <c r="D41" s="87"/>
      <c r="E41" s="87"/>
      <c r="F41" s="236">
        <f>-4.84+0.92*0.88+0.82*0.53+0.4*0.8+0.89*1.06+1.04*0.12+1.15*-0.172+4.68*-0.08+0.91*-0.327</f>
        <v>-3.0773700000000002</v>
      </c>
      <c r="G41" s="237"/>
    </row>
    <row r="42" spans="2:7" ht="15" thickTop="1" x14ac:dyDescent="0.35"/>
  </sheetData>
  <mergeCells count="3">
    <mergeCell ref="F41:G41"/>
    <mergeCell ref="B1:G2"/>
    <mergeCell ref="F29:G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BF7FC-F6EB-4891-889B-80622A6F7B4F}">
  <sheetPr codeName="Sheet2"/>
  <dimension ref="B1:K39"/>
  <sheetViews>
    <sheetView showGridLines="0" zoomScale="122" zoomScaleNormal="70" workbookViewId="0">
      <selection activeCell="E9" sqref="E9"/>
    </sheetView>
  </sheetViews>
  <sheetFormatPr defaultRowHeight="14.5" x14ac:dyDescent="0.35"/>
  <cols>
    <col min="1" max="1" width="1.90625" customWidth="1"/>
    <col min="2" max="3" width="17.6328125" customWidth="1"/>
    <col min="4" max="9" width="12.81640625" bestFit="1" customWidth="1"/>
    <col min="10" max="10" width="1.08984375" customWidth="1"/>
    <col min="11" max="11" width="14.81640625" customWidth="1"/>
  </cols>
  <sheetData>
    <row r="1" spans="2:11" x14ac:dyDescent="0.35">
      <c r="B1" s="238" t="s">
        <v>93</v>
      </c>
      <c r="C1" s="238"/>
      <c r="D1" s="238"/>
      <c r="E1" s="238"/>
      <c r="F1" s="238"/>
      <c r="G1" s="238"/>
      <c r="H1" s="238"/>
      <c r="I1" s="238"/>
    </row>
    <row r="2" spans="2:11" x14ac:dyDescent="0.35">
      <c r="B2" s="238"/>
      <c r="C2" s="238"/>
      <c r="D2" s="238"/>
      <c r="E2" s="238"/>
      <c r="F2" s="238"/>
      <c r="G2" s="238"/>
      <c r="H2" s="238"/>
      <c r="I2" s="238"/>
    </row>
    <row r="3" spans="2:11" ht="9" customHeight="1" x14ac:dyDescent="0.35"/>
    <row r="4" spans="2:11" ht="15.5" x14ac:dyDescent="0.35">
      <c r="B4" s="240" t="s">
        <v>95</v>
      </c>
      <c r="C4" s="240"/>
      <c r="D4" s="240"/>
      <c r="E4" s="240"/>
      <c r="F4" s="240"/>
      <c r="G4" s="240"/>
      <c r="H4" s="240"/>
      <c r="I4" s="240"/>
    </row>
    <row r="5" spans="2:11" x14ac:dyDescent="0.35">
      <c r="B5" t="s">
        <v>94</v>
      </c>
    </row>
    <row r="6" spans="2:11" x14ac:dyDescent="0.35">
      <c r="B6" s="25" t="s">
        <v>96</v>
      </c>
      <c r="C6" s="25"/>
      <c r="D6" s="26">
        <v>44256</v>
      </c>
      <c r="E6" s="26">
        <f>'Profit &amp; Loss'!G3</f>
        <v>44651</v>
      </c>
      <c r="F6" s="26">
        <f>'Profit &amp; Loss'!H3</f>
        <v>45016</v>
      </c>
      <c r="G6" s="26">
        <f>'Profit &amp; Loss'!I3</f>
        <v>45382</v>
      </c>
      <c r="H6" s="26">
        <f>'Profit &amp; Loss'!J3</f>
        <v>45747</v>
      </c>
      <c r="I6" s="26">
        <f>'Profit &amp; Loss'!K3</f>
        <v>46112</v>
      </c>
      <c r="K6" s="25" t="s">
        <v>99</v>
      </c>
    </row>
    <row r="7" spans="2:11" ht="6" customHeight="1" x14ac:dyDescent="0.35"/>
    <row r="8" spans="2:11" x14ac:dyDescent="0.35">
      <c r="B8" s="30" t="str">
        <f>'Profit &amp; Loss'!A4</f>
        <v>Sales</v>
      </c>
      <c r="C8" s="30"/>
      <c r="D8" s="31">
        <f>'Historical '!C7</f>
        <v>156477.4</v>
      </c>
      <c r="E8" s="31">
        <f>'Historical '!D7</f>
        <v>243959.17</v>
      </c>
      <c r="F8" s="31">
        <f>'Historical '!E7</f>
        <v>243352.69</v>
      </c>
      <c r="G8" s="31">
        <f>'Historical '!F7</f>
        <v>229170.78</v>
      </c>
      <c r="H8" s="31">
        <f>'Historical '!G7</f>
        <v>218542.51</v>
      </c>
      <c r="I8" s="31">
        <f>'Historical '!H7</f>
        <v>232139.94</v>
      </c>
    </row>
    <row r="9" spans="2:11" x14ac:dyDescent="0.35">
      <c r="B9" s="32" t="s">
        <v>97</v>
      </c>
      <c r="C9" s="32"/>
      <c r="D9" s="33">
        <v>0</v>
      </c>
      <c r="E9" s="33">
        <f>E8/D8-1</f>
        <v>0.55906968035000593</v>
      </c>
      <c r="F9" s="33">
        <f t="shared" ref="F9:I9" si="0">F8/E8-1</f>
        <v>-2.4859897662383723E-3</v>
      </c>
      <c r="G9" s="33">
        <f t="shared" si="0"/>
        <v>-5.8277186087402622E-2</v>
      </c>
      <c r="H9" s="33">
        <f t="shared" si="0"/>
        <v>-4.6377073028245563E-2</v>
      </c>
      <c r="I9" s="33">
        <f t="shared" si="0"/>
        <v>6.2218696033096599E-2</v>
      </c>
    </row>
    <row r="10" spans="2:11" ht="6" customHeight="1" x14ac:dyDescent="0.35">
      <c r="B10" s="34"/>
      <c r="C10" s="34"/>
      <c r="D10" s="23"/>
      <c r="E10" s="35"/>
      <c r="F10" s="35"/>
      <c r="G10" s="35"/>
      <c r="H10" s="35"/>
      <c r="I10" s="35"/>
    </row>
    <row r="11" spans="2:11" x14ac:dyDescent="0.35">
      <c r="B11" s="30" t="s">
        <v>585</v>
      </c>
      <c r="C11" s="30"/>
      <c r="D11" s="31">
        <f>'Historical '!C8</f>
        <v>102979.74</v>
      </c>
      <c r="E11" s="31">
        <f>'Historical '!D8</f>
        <v>143605.19</v>
      </c>
      <c r="F11" s="31">
        <f>'Historical '!E8</f>
        <v>178329.36</v>
      </c>
      <c r="G11" s="31">
        <f>'Historical '!F8</f>
        <v>183154.84</v>
      </c>
      <c r="H11" s="31">
        <f>'Historical '!G8</f>
        <v>171714.99000000002</v>
      </c>
      <c r="I11" s="31">
        <f>'Historical '!H8</f>
        <v>171435.78</v>
      </c>
    </row>
    <row r="12" spans="2:11" x14ac:dyDescent="0.35">
      <c r="B12" s="32" t="s">
        <v>97</v>
      </c>
      <c r="C12" s="32"/>
      <c r="D12" s="33">
        <v>0</v>
      </c>
      <c r="E12" s="37">
        <f>E11/D11-1</f>
        <v>0.39449944231748879</v>
      </c>
      <c r="F12" s="37">
        <f t="shared" ref="F12:I12" si="1">F11/E11-1</f>
        <v>0.24180302954231658</v>
      </c>
      <c r="G12" s="37">
        <f t="shared" si="1"/>
        <v>2.7059369248002785E-2</v>
      </c>
      <c r="H12" s="37">
        <f t="shared" si="1"/>
        <v>-6.2459992867237246E-2</v>
      </c>
      <c r="I12" s="37">
        <f t="shared" si="1"/>
        <v>-1.6260083059727037E-3</v>
      </c>
    </row>
    <row r="13" spans="2:11" ht="6" customHeight="1" x14ac:dyDescent="0.35">
      <c r="B13" s="34"/>
      <c r="C13" s="34"/>
      <c r="D13" s="23"/>
      <c r="E13" s="35"/>
      <c r="F13" s="35"/>
      <c r="G13" s="35"/>
      <c r="H13" s="35"/>
      <c r="I13" s="35"/>
    </row>
    <row r="14" spans="2:11" x14ac:dyDescent="0.35">
      <c r="B14" s="30" t="s">
        <v>321</v>
      </c>
      <c r="C14" s="30"/>
      <c r="D14" s="31">
        <f>'Historical '!C9</f>
        <v>53497.659999999989</v>
      </c>
      <c r="E14" s="31">
        <f>'Historical '!D9</f>
        <v>100353.98000000001</v>
      </c>
      <c r="F14" s="31">
        <f>'Historical '!E9</f>
        <v>65023.330000000016</v>
      </c>
      <c r="G14" s="31">
        <f>'Historical '!F9</f>
        <v>46015.94</v>
      </c>
      <c r="H14" s="31">
        <f>'Historical '!G9</f>
        <v>46827.51999999999</v>
      </c>
      <c r="I14" s="31">
        <f>'Historical '!H9</f>
        <v>60704.160000000003</v>
      </c>
    </row>
    <row r="15" spans="2:11" x14ac:dyDescent="0.35">
      <c r="B15" s="32" t="s">
        <v>97</v>
      </c>
      <c r="C15" s="32"/>
      <c r="D15" s="33">
        <v>0</v>
      </c>
      <c r="E15" s="37">
        <f>E14/D14-1</f>
        <v>0.87585737394869301</v>
      </c>
      <c r="F15" s="37">
        <f t="shared" ref="F15:I15" si="2">F14/E14-1</f>
        <v>-0.35206027703136433</v>
      </c>
      <c r="G15" s="37">
        <f t="shared" si="2"/>
        <v>-0.29231646549015577</v>
      </c>
      <c r="H15" s="37">
        <f t="shared" si="2"/>
        <v>1.7636931897946351E-2</v>
      </c>
      <c r="I15" s="37">
        <f t="shared" si="2"/>
        <v>0.29633514651213688</v>
      </c>
    </row>
    <row r="16" spans="2:11" ht="6" customHeight="1" x14ac:dyDescent="0.35">
      <c r="B16" s="34"/>
      <c r="C16" s="34"/>
      <c r="D16" s="23"/>
      <c r="E16" s="35"/>
      <c r="F16" s="35"/>
      <c r="G16" s="35"/>
      <c r="H16" s="35"/>
      <c r="I16" s="35"/>
    </row>
    <row r="17" spans="2:9" x14ac:dyDescent="0.35">
      <c r="B17" s="204" t="s">
        <v>574</v>
      </c>
      <c r="C17" s="30"/>
      <c r="D17" s="31">
        <f>'Historical '!C10</f>
        <v>22993.4</v>
      </c>
      <c r="E17" s="31">
        <f>'Historical '!D10</f>
        <v>36864.03</v>
      </c>
      <c r="F17" s="31">
        <f>'Historical '!E10</f>
        <v>32723.17</v>
      </c>
      <c r="G17" s="31">
        <f>'Historical '!F10</f>
        <v>23768.02</v>
      </c>
      <c r="H17" s="31">
        <f>'Historical '!G10</f>
        <v>21529.07</v>
      </c>
      <c r="I17" s="31">
        <f>'Historical '!H10</f>
        <v>26351.72</v>
      </c>
    </row>
    <row r="18" spans="2:9" x14ac:dyDescent="0.35">
      <c r="B18" s="32" t="s">
        <v>97</v>
      </c>
      <c r="C18" s="32"/>
      <c r="D18" s="33">
        <v>0</v>
      </c>
      <c r="E18" s="37">
        <f>E17/D17-1</f>
        <v>0.60324397435785904</v>
      </c>
      <c r="F18" s="37">
        <f t="shared" ref="F18:I18" si="3">F17/E17-1</f>
        <v>-0.11232792508035616</v>
      </c>
      <c r="G18" s="37">
        <f t="shared" si="3"/>
        <v>-0.27366389014267256</v>
      </c>
      <c r="H18" s="37">
        <f t="shared" si="3"/>
        <v>-9.4200105856524941E-2</v>
      </c>
      <c r="I18" s="37">
        <f t="shared" si="3"/>
        <v>0.22400642480144306</v>
      </c>
    </row>
    <row r="19" spans="2:9" ht="6" customHeight="1" x14ac:dyDescent="0.35">
      <c r="B19" s="34"/>
      <c r="C19" s="34"/>
      <c r="D19" s="23"/>
      <c r="E19" s="35"/>
      <c r="F19" s="35"/>
      <c r="G19" s="35"/>
      <c r="H19" s="35"/>
      <c r="I19" s="35"/>
    </row>
    <row r="20" spans="2:9" x14ac:dyDescent="0.35">
      <c r="B20" s="30" t="s">
        <v>324</v>
      </c>
      <c r="C20" s="30"/>
      <c r="D20" s="31">
        <f>'Historical '!C11</f>
        <v>30504.259999999987</v>
      </c>
      <c r="E20" s="31">
        <f>'Historical '!D11</f>
        <v>63489.950000000012</v>
      </c>
      <c r="F20" s="31">
        <f>'Historical '!E11</f>
        <v>32300.160000000018</v>
      </c>
      <c r="G20" s="31">
        <f>'Historical '!F11</f>
        <v>22247.920000000002</v>
      </c>
      <c r="H20" s="31">
        <f>'Historical '!G11</f>
        <v>25298.44999999999</v>
      </c>
      <c r="I20" s="31">
        <f>'Historical '!H11</f>
        <v>34352.44</v>
      </c>
    </row>
    <row r="21" spans="2:9" x14ac:dyDescent="0.35">
      <c r="B21" s="32" t="s">
        <v>97</v>
      </c>
      <c r="C21" s="32"/>
      <c r="D21" s="33">
        <v>0</v>
      </c>
      <c r="E21" s="37">
        <f>E20/D20-1</f>
        <v>1.0813469987470614</v>
      </c>
      <c r="F21" s="37">
        <f t="shared" ref="F21:I21" si="4">F20/E20-1</f>
        <v>-0.49125554516895964</v>
      </c>
      <c r="G21" s="37">
        <f t="shared" si="4"/>
        <v>-0.31121331906715044</v>
      </c>
      <c r="H21" s="37">
        <f t="shared" si="4"/>
        <v>0.13711528987878352</v>
      </c>
      <c r="I21" s="37">
        <f t="shared" si="4"/>
        <v>0.35788714328348248</v>
      </c>
    </row>
    <row r="22" spans="2:9" ht="6" customHeight="1" x14ac:dyDescent="0.35">
      <c r="B22" s="34"/>
      <c r="C22" s="34"/>
      <c r="D22" s="23"/>
      <c r="E22" s="35"/>
      <c r="F22" s="35"/>
      <c r="G22" s="35"/>
      <c r="H22" s="35"/>
      <c r="I22" s="35"/>
    </row>
    <row r="23" spans="2:9" x14ac:dyDescent="0.35">
      <c r="B23" s="30" t="s">
        <v>11</v>
      </c>
      <c r="C23" s="30"/>
      <c r="D23" s="31">
        <f>'Historical '!C12</f>
        <v>7606.71</v>
      </c>
      <c r="E23" s="31">
        <f>'Profit &amp; Loss'!G9</f>
        <v>5462.2</v>
      </c>
      <c r="F23" s="31">
        <f>'Profit &amp; Loss'!H9</f>
        <v>6298.7</v>
      </c>
      <c r="G23" s="31">
        <f>'Profit &amp; Loss'!I9</f>
        <v>7507.57</v>
      </c>
      <c r="H23" s="31">
        <f>'Profit &amp; Loss'!J9</f>
        <v>7340.95</v>
      </c>
      <c r="I23" s="31">
        <f>'Profit &amp; Loss'!K9</f>
        <v>7167.06</v>
      </c>
    </row>
    <row r="24" spans="2:9" x14ac:dyDescent="0.35">
      <c r="B24" s="32" t="s">
        <v>97</v>
      </c>
      <c r="C24" s="32"/>
      <c r="D24" s="33">
        <v>0</v>
      </c>
      <c r="E24" s="37">
        <f>E23/D23-1</f>
        <v>-0.28192345968230681</v>
      </c>
      <c r="F24" s="37">
        <f t="shared" ref="F24:I24" si="5">F23/E23-1</f>
        <v>0.15314342206436971</v>
      </c>
      <c r="G24" s="37">
        <f t="shared" si="5"/>
        <v>0.19192373029355259</v>
      </c>
      <c r="H24" s="37">
        <f t="shared" si="5"/>
        <v>-2.2193599260479702E-2</v>
      </c>
      <c r="I24" s="37">
        <f t="shared" si="5"/>
        <v>-2.3687669851994553E-2</v>
      </c>
    </row>
    <row r="25" spans="2:9" ht="6" customHeight="1" x14ac:dyDescent="0.35">
      <c r="B25" s="34"/>
      <c r="C25" s="34"/>
      <c r="D25" s="23"/>
      <c r="E25" s="35"/>
      <c r="F25" s="35"/>
      <c r="G25" s="35"/>
      <c r="H25" s="35"/>
      <c r="I25" s="35"/>
    </row>
    <row r="26" spans="2:9" x14ac:dyDescent="0.35">
      <c r="B26" s="30" t="s">
        <v>10</v>
      </c>
      <c r="C26" s="30"/>
      <c r="D26" s="31">
        <f>'Historical '!C13</f>
        <v>9233.64</v>
      </c>
      <c r="E26" s="31">
        <f>'Historical '!D13</f>
        <v>9100.8700000000008</v>
      </c>
      <c r="F26" s="31">
        <f>'Historical '!E13</f>
        <v>9335.2000000000007</v>
      </c>
      <c r="G26" s="31">
        <f>'Historical '!F13</f>
        <v>9882.16</v>
      </c>
      <c r="H26" s="31">
        <f>'Historical '!G13</f>
        <v>10421.33</v>
      </c>
      <c r="I26" s="31">
        <f>'Historical '!H13</f>
        <v>11954.51</v>
      </c>
    </row>
    <row r="27" spans="2:9" x14ac:dyDescent="0.35">
      <c r="B27" s="32" t="s">
        <v>97</v>
      </c>
      <c r="C27" s="32"/>
      <c r="D27" s="33">
        <v>0</v>
      </c>
      <c r="E27" s="37">
        <f>E26/D26-1</f>
        <v>-1.4378944814829153E-2</v>
      </c>
      <c r="F27" s="37">
        <f t="shared" ref="F27:I27" si="6">F26/E26-1</f>
        <v>2.5748087820175458E-2</v>
      </c>
      <c r="G27" s="37">
        <f t="shared" si="6"/>
        <v>5.8591138915073948E-2</v>
      </c>
      <c r="H27" s="37">
        <f t="shared" si="6"/>
        <v>5.4559934265383303E-2</v>
      </c>
      <c r="I27" s="37">
        <f t="shared" si="6"/>
        <v>0.14711941757913816</v>
      </c>
    </row>
    <row r="28" spans="2:9" ht="6" customHeight="1" x14ac:dyDescent="0.35">
      <c r="B28" s="34"/>
      <c r="C28" s="34"/>
      <c r="D28" s="23"/>
      <c r="E28" s="35"/>
      <c r="F28" s="35"/>
      <c r="G28" s="35"/>
      <c r="H28" s="35"/>
      <c r="I28" s="35"/>
    </row>
    <row r="29" spans="2:9" x14ac:dyDescent="0.35">
      <c r="B29" s="30" t="s">
        <v>9</v>
      </c>
      <c r="C29" s="30"/>
      <c r="D29" s="31">
        <f>'Historical '!C14</f>
        <v>179.78</v>
      </c>
      <c r="E29" s="31">
        <f>'Historical '!D14</f>
        <v>1299.99</v>
      </c>
      <c r="F29" s="31">
        <f>'Historical '!E14</f>
        <v>1568.86</v>
      </c>
      <c r="G29" s="31">
        <f>'Historical '!F14</f>
        <v>-6005.23</v>
      </c>
      <c r="H29" s="31">
        <f>'Historical '!G14</f>
        <v>876.7</v>
      </c>
      <c r="I29" s="31">
        <f>'Historical '!H14</f>
        <v>737.82</v>
      </c>
    </row>
    <row r="30" spans="2:9" x14ac:dyDescent="0.35">
      <c r="B30" s="32" t="s">
        <v>97</v>
      </c>
      <c r="C30" s="32"/>
      <c r="D30" s="33">
        <v>0</v>
      </c>
      <c r="E30" s="37">
        <f>E29/D29-1</f>
        <v>6.2310045611302707</v>
      </c>
      <c r="F30" s="37">
        <f t="shared" ref="F30:I30" si="7">F29/E29-1</f>
        <v>0.20682466788206044</v>
      </c>
      <c r="G30" s="37">
        <f t="shared" si="7"/>
        <v>-4.8277666585928634</v>
      </c>
      <c r="H30" s="37">
        <f t="shared" si="7"/>
        <v>-1.14598941256205</v>
      </c>
      <c r="I30" s="37">
        <f t="shared" si="7"/>
        <v>-0.15841222767195162</v>
      </c>
    </row>
    <row r="31" spans="2:9" ht="6" customHeight="1" x14ac:dyDescent="0.35">
      <c r="B31" s="34"/>
      <c r="C31" s="34"/>
      <c r="D31" s="23"/>
      <c r="E31" s="35"/>
      <c r="F31" s="35"/>
      <c r="G31" s="35"/>
      <c r="H31" s="35"/>
      <c r="I31" s="35"/>
    </row>
    <row r="32" spans="2:9" x14ac:dyDescent="0.35">
      <c r="B32" s="30" t="s">
        <v>575</v>
      </c>
      <c r="C32" s="30"/>
      <c r="D32" s="31">
        <f>'Historical '!C15</f>
        <v>13843.689999999988</v>
      </c>
      <c r="E32" s="31">
        <f>'Historical '!D15</f>
        <v>50226.87000000001</v>
      </c>
      <c r="F32" s="31">
        <f>'Historical '!E15</f>
        <v>18235.120000000017</v>
      </c>
      <c r="G32" s="31">
        <f>'Historical '!F15</f>
        <v>-1147.0399999999972</v>
      </c>
      <c r="H32" s="31">
        <f>'Historical '!G15</f>
        <v>8412.8699999999917</v>
      </c>
      <c r="I32" s="31">
        <f>'Historical '!H15</f>
        <v>15968.690000000002</v>
      </c>
    </row>
    <row r="33" spans="2:9" x14ac:dyDescent="0.35">
      <c r="B33" s="32" t="s">
        <v>97</v>
      </c>
      <c r="C33" s="32"/>
      <c r="D33" s="33">
        <v>0</v>
      </c>
      <c r="E33" s="37">
        <f>E32/D32-1</f>
        <v>2.6281417743390709</v>
      </c>
      <c r="F33" s="37">
        <f t="shared" ref="F33:I33" si="8">F32/E32-1</f>
        <v>-0.63694492609234832</v>
      </c>
      <c r="G33" s="37">
        <f t="shared" si="8"/>
        <v>-1.0629027941686151</v>
      </c>
      <c r="H33" s="37">
        <f t="shared" si="8"/>
        <v>-8.3344172827451644</v>
      </c>
      <c r="I33" s="37">
        <f t="shared" si="8"/>
        <v>0.89812632312160035</v>
      </c>
    </row>
    <row r="34" spans="2:9" ht="6" customHeight="1" x14ac:dyDescent="0.35">
      <c r="B34" s="27"/>
      <c r="C34" s="27"/>
      <c r="D34" s="28"/>
      <c r="E34" s="29"/>
      <c r="F34" s="29"/>
      <c r="G34" s="29"/>
      <c r="H34" s="29"/>
      <c r="I34" s="29"/>
    </row>
    <row r="35" spans="2:9" x14ac:dyDescent="0.35">
      <c r="B35" s="30" t="s">
        <v>13</v>
      </c>
      <c r="C35" s="30"/>
      <c r="D35" s="31">
        <f>'Historical '!C16</f>
        <v>5653.9</v>
      </c>
      <c r="E35" s="31">
        <f>'Historical '!D16</f>
        <v>8477.5499999999993</v>
      </c>
      <c r="F35" s="31">
        <f>'Historical '!E16</f>
        <v>10159.77</v>
      </c>
      <c r="G35" s="31">
        <f>'Historical '!F16</f>
        <v>3762.57</v>
      </c>
      <c r="H35" s="31">
        <f>'Historical '!G16</f>
        <v>5239.09</v>
      </c>
      <c r="I35" s="31">
        <f>'Historical '!H16</f>
        <v>5082.87</v>
      </c>
    </row>
    <row r="36" spans="2:9" x14ac:dyDescent="0.35">
      <c r="B36" s="32" t="s">
        <v>97</v>
      </c>
      <c r="C36" s="32"/>
      <c r="D36" s="33">
        <v>0</v>
      </c>
      <c r="E36" s="37">
        <f>E35/D35-1</f>
        <v>0.49941633208935432</v>
      </c>
      <c r="F36" s="37">
        <f t="shared" ref="F36:I36" si="9">F35/E35-1</f>
        <v>0.19843233009536965</v>
      </c>
      <c r="G36" s="37">
        <f t="shared" si="9"/>
        <v>-0.62965992340377785</v>
      </c>
      <c r="H36" s="37">
        <f t="shared" si="9"/>
        <v>0.39242326388612048</v>
      </c>
      <c r="I36" s="37">
        <f t="shared" si="9"/>
        <v>-2.9818155443025463E-2</v>
      </c>
    </row>
    <row r="37" spans="2:9" ht="8.4" customHeight="1" x14ac:dyDescent="0.35"/>
    <row r="38" spans="2:9" x14ac:dyDescent="0.35">
      <c r="B38" s="30" t="s">
        <v>576</v>
      </c>
      <c r="C38" s="30"/>
      <c r="D38" s="31">
        <f>'Historical '!C17</f>
        <v>8189.7899999999881</v>
      </c>
      <c r="E38" s="31">
        <f>'Historical '!D17</f>
        <v>41749.320000000007</v>
      </c>
      <c r="F38" s="31">
        <f>'Historical '!E17</f>
        <v>8075.3500000000167</v>
      </c>
      <c r="G38" s="31">
        <f>'Historical '!F17</f>
        <v>-4909.6099999999969</v>
      </c>
      <c r="H38" s="31">
        <f>'Historical '!G17</f>
        <v>3173.7799999999916</v>
      </c>
      <c r="I38" s="31">
        <f>'Historical '!H17</f>
        <v>10885.820000000003</v>
      </c>
    </row>
    <row r="39" spans="2:9" x14ac:dyDescent="0.35">
      <c r="B39" s="32" t="s">
        <v>97</v>
      </c>
      <c r="C39" s="32"/>
      <c r="D39" s="33">
        <v>0</v>
      </c>
      <c r="E39" s="37">
        <f>E38/D38-1</f>
        <v>4.0977277805658101</v>
      </c>
      <c r="F39" s="37">
        <f t="shared" ref="F39" si="10">F38/E38-1</f>
        <v>-0.80657529272333028</v>
      </c>
      <c r="G39" s="37">
        <f t="shared" ref="G39" si="11">G38/F38-1</f>
        <v>-1.6079748865374239</v>
      </c>
      <c r="H39" s="37">
        <f t="shared" ref="H39" si="12">H38/G38-1</f>
        <v>-1.6464423854440564</v>
      </c>
      <c r="I39" s="37">
        <f t="shared" ref="I39" si="13">I38/H38-1</f>
        <v>2.4299226789506623</v>
      </c>
    </row>
  </sheetData>
  <mergeCells count="2">
    <mergeCell ref="B1:I2"/>
    <mergeCell ref="B4:I4"/>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DEF9E667-FDBD-470D-8568-03BD3929FB7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'!D9:I9</xm:f>
              <xm:sqref>K9</xm:sqref>
            </x14:sparkline>
          </x14:sparklines>
        </x14:sparklineGroup>
        <x14:sparklineGroup displayEmptyCellsAs="gap" markers="1" xr2:uid="{20A914C6-E11A-45D7-8FBD-C917F7AB58F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'!D12:I12</xm:f>
              <xm:sqref>K12</xm:sqref>
            </x14:sparkline>
          </x14:sparklines>
        </x14:sparklineGroup>
        <x14:sparklineGroup displayEmptyCellsAs="gap" markers="1" xr2:uid="{9D7E4411-BE8A-4E49-8EC6-2FB19920AB4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'!D15:I15</xm:f>
              <xm:sqref>K15</xm:sqref>
            </x14:sparkline>
          </x14:sparklines>
        </x14:sparklineGroup>
        <x14:sparklineGroup displayEmptyCellsAs="gap" markers="1" xr2:uid="{77E574AD-35BA-40A7-8A17-CECD1066F48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'!D18:I18</xm:f>
              <xm:sqref>K18</xm:sqref>
            </x14:sparkline>
          </x14:sparklines>
        </x14:sparklineGroup>
        <x14:sparklineGroup displayEmptyCellsAs="gap" markers="1" xr2:uid="{6D4689DE-58FF-4446-8D35-E0D8ED5A0AB5}">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'!D21:I21</xm:f>
              <xm:sqref>K21</xm:sqref>
            </x14:sparkline>
          </x14:sparklines>
        </x14:sparklineGroup>
        <x14:sparklineGroup displayEmptyCellsAs="gap" markers="1" xr2:uid="{9E01B736-733E-44B7-A71D-6322E2EC487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'!D24:I24</xm:f>
              <xm:sqref>K24</xm:sqref>
            </x14:sparkline>
          </x14:sparklines>
        </x14:sparklineGroup>
        <x14:sparklineGroup displayEmptyCellsAs="gap" markers="1" xr2:uid="{64F17044-9905-4CC3-A2AD-A71410C491C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'!D27:I27</xm:f>
              <xm:sqref>K27</xm:sqref>
            </x14:sparkline>
          </x14:sparklines>
        </x14:sparklineGroup>
        <x14:sparklineGroup displayEmptyCellsAs="gap" markers="1" xr2:uid="{32FBEB45-E05D-44B3-878D-7EEA74CB267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'!D30:I30</xm:f>
              <xm:sqref>K30</xm:sqref>
            </x14:sparkline>
          </x14:sparklines>
        </x14:sparklineGroup>
        <x14:sparklineGroup displayEmptyCellsAs="gap" markers="1" xr2:uid="{3135CFA9-1678-49BE-867B-391BCA574E5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'!D33:I33</xm:f>
              <xm:sqref>K33</xm:sqref>
            </x14:sparkline>
          </x14:sparklines>
        </x14:sparklineGroup>
        <x14:sparklineGroup displayEmptyCellsAs="gap" markers="1" xr2:uid="{57A6735D-6FD4-4CDE-B810-ECE71423270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'!D36:I36</xm:f>
              <xm:sqref>K36</xm:sqref>
            </x14:sparkline>
          </x14:sparklines>
        </x14:sparklineGroup>
        <x14:sparklineGroup displayEmptyCellsAs="gap" markers="1" xr2:uid="{6B558AAF-F732-4017-8A07-97E055C55AF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'!D39:I39</xm:f>
              <xm:sqref>K39</xm:sqref>
            </x14:sparkline>
          </x14:sparklines>
        </x14:sparklineGroup>
        <x14:sparklineGroup displayEmptyCellsAs="gap" markers="1" xr2:uid="{CD4F5602-65DC-46D6-B7D8-4CDCE23CCF6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Income Statement '!D22:I22</xm:f>
              <xm:sqref>K22</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D55E-61B2-4E4E-9A1C-5A227F2C0AFD}">
  <sheetPr codeName="Sheet3"/>
  <dimension ref="B1:K46"/>
  <sheetViews>
    <sheetView showGridLines="0" workbookViewId="0">
      <selection sqref="A1:XFD1048576"/>
    </sheetView>
  </sheetViews>
  <sheetFormatPr defaultRowHeight="14.5" x14ac:dyDescent="0.35"/>
  <cols>
    <col min="1" max="1" width="1.90625" style="253" customWidth="1"/>
    <col min="2" max="2" width="21" style="253" bestFit="1" customWidth="1"/>
    <col min="3" max="3" width="8.7265625" style="253"/>
    <col min="4" max="9" width="12.81640625" style="253" bestFit="1" customWidth="1"/>
    <col min="10" max="10" width="1.6328125" style="253" customWidth="1"/>
    <col min="11" max="11" width="12.54296875" style="253" bestFit="1" customWidth="1"/>
    <col min="12" max="16384" width="8.7265625" style="253"/>
  </cols>
  <sheetData>
    <row r="1" spans="2:11" x14ac:dyDescent="0.35">
      <c r="B1" s="238" t="s">
        <v>93</v>
      </c>
      <c r="C1" s="238"/>
      <c r="D1" s="238"/>
      <c r="E1" s="238"/>
      <c r="F1" s="238"/>
      <c r="G1" s="238"/>
      <c r="H1" s="238"/>
      <c r="I1" s="238"/>
    </row>
    <row r="2" spans="2:11" x14ac:dyDescent="0.35">
      <c r="B2" s="238"/>
      <c r="C2" s="238"/>
      <c r="D2" s="238"/>
      <c r="E2" s="238"/>
      <c r="F2" s="238"/>
      <c r="G2" s="238"/>
      <c r="H2" s="238"/>
      <c r="I2" s="238"/>
    </row>
    <row r="3" spans="2:11" ht="9" customHeight="1" x14ac:dyDescent="0.35"/>
    <row r="4" spans="2:11" ht="15.5" x14ac:dyDescent="0.35">
      <c r="B4" s="240" t="s">
        <v>98</v>
      </c>
      <c r="C4" s="240"/>
      <c r="D4" s="240"/>
      <c r="E4" s="240"/>
      <c r="F4" s="240"/>
      <c r="G4" s="240"/>
      <c r="H4" s="240"/>
      <c r="I4" s="240"/>
    </row>
    <row r="5" spans="2:11" x14ac:dyDescent="0.35">
      <c r="B5" s="253" t="s">
        <v>94</v>
      </c>
    </row>
    <row r="6" spans="2:11" x14ac:dyDescent="0.35">
      <c r="B6" s="25" t="s">
        <v>96</v>
      </c>
      <c r="C6" s="25"/>
      <c r="D6" s="26">
        <v>44256</v>
      </c>
      <c r="E6" s="26">
        <f>'Profit &amp; Loss'!G3</f>
        <v>44651</v>
      </c>
      <c r="F6" s="26">
        <f>'Profit &amp; Loss'!H3</f>
        <v>45016</v>
      </c>
      <c r="G6" s="26">
        <f>'Profit &amp; Loss'!I3</f>
        <v>45382</v>
      </c>
      <c r="H6" s="26">
        <f>'Profit &amp; Loss'!J3</f>
        <v>45747</v>
      </c>
      <c r="I6" s="26">
        <f>'Profit &amp; Loss'!K3</f>
        <v>46112</v>
      </c>
      <c r="K6" s="25" t="s">
        <v>99</v>
      </c>
    </row>
    <row r="7" spans="2:11" ht="6" customHeight="1" x14ac:dyDescent="0.35"/>
    <row r="8" spans="2:11" x14ac:dyDescent="0.35">
      <c r="B8" s="30" t="str">
        <f>'Balance Sheet'!A4</f>
        <v>Equity Share Capital</v>
      </c>
      <c r="C8" s="30"/>
      <c r="D8" s="31">
        <f>'Historical '!C27</f>
        <v>1197.6099999999999</v>
      </c>
      <c r="E8" s="31">
        <f>'Historical '!D27</f>
        <v>1221.21</v>
      </c>
      <c r="F8" s="31">
        <f>'Historical '!E27</f>
        <v>1221.24</v>
      </c>
      <c r="G8" s="31">
        <f>'Historical '!F27</f>
        <v>1247.44</v>
      </c>
      <c r="H8" s="31">
        <f>'Historical '!G27</f>
        <v>1247.44</v>
      </c>
      <c r="I8" s="31">
        <f>'Historical '!H27</f>
        <v>1247.44</v>
      </c>
    </row>
    <row r="9" spans="2:11" x14ac:dyDescent="0.35">
      <c r="B9" s="32" t="s">
        <v>97</v>
      </c>
      <c r="C9" s="32"/>
      <c r="D9" s="33">
        <v>0</v>
      </c>
      <c r="E9" s="33">
        <f>E8/D8-1</f>
        <v>1.970591427927304E-2</v>
      </c>
      <c r="F9" s="38">
        <f>F8/E8-1</f>
        <v>2.4565799493947438E-5</v>
      </c>
      <c r="G9" s="33">
        <f>G8/F8-1</f>
        <v>2.1453604533097526E-2</v>
      </c>
      <c r="H9" s="33">
        <f t="shared" ref="H9:I9" si="0">H8/G8-1</f>
        <v>0</v>
      </c>
      <c r="I9" s="33">
        <f t="shared" si="0"/>
        <v>0</v>
      </c>
    </row>
    <row r="10" spans="2:11" ht="6" customHeight="1" x14ac:dyDescent="0.35">
      <c r="B10" s="34"/>
      <c r="C10" s="23"/>
      <c r="D10" s="23"/>
      <c r="E10" s="35"/>
      <c r="F10" s="35"/>
      <c r="G10" s="35"/>
      <c r="H10" s="35"/>
      <c r="I10" s="35"/>
    </row>
    <row r="11" spans="2:11" x14ac:dyDescent="0.35">
      <c r="B11" s="30" t="str">
        <f>'Balance Sheet'!A5</f>
        <v>Reserves</v>
      </c>
      <c r="C11" s="30"/>
      <c r="D11" s="31">
        <f>'Historical '!C28</f>
        <v>73041.16</v>
      </c>
      <c r="E11" s="31">
        <f>'Historical '!D28</f>
        <v>113221.83</v>
      </c>
      <c r="F11" s="31">
        <f>'Historical '!E28</f>
        <v>101860.86</v>
      </c>
      <c r="G11" s="31">
        <f>'Historical '!F28</f>
        <v>90788.32</v>
      </c>
      <c r="H11" s="31">
        <f>'Historical '!G28</f>
        <v>89922.19</v>
      </c>
      <c r="I11" s="31">
        <f>'Historical '!H28</f>
        <v>100920.21</v>
      </c>
    </row>
    <row r="12" spans="2:11" x14ac:dyDescent="0.35">
      <c r="B12" s="32" t="s">
        <v>97</v>
      </c>
      <c r="C12" s="36"/>
      <c r="D12" s="33">
        <v>0</v>
      </c>
      <c r="E12" s="33">
        <f>E11/D11-1</f>
        <v>0.55010996539485402</v>
      </c>
      <c r="F12" s="37">
        <f t="shared" ref="F12:I12" si="1">F11/E11-1</f>
        <v>-0.10034257527898993</v>
      </c>
      <c r="G12" s="37">
        <f t="shared" si="1"/>
        <v>-0.1087025968561427</v>
      </c>
      <c r="H12" s="37">
        <f t="shared" si="1"/>
        <v>-9.5401038371456526E-3</v>
      </c>
      <c r="I12" s="37">
        <f t="shared" si="1"/>
        <v>0.12230596252159787</v>
      </c>
    </row>
    <row r="13" spans="2:11" ht="6" customHeight="1" x14ac:dyDescent="0.35">
      <c r="B13" s="34"/>
      <c r="C13" s="23"/>
      <c r="D13" s="23"/>
      <c r="E13" s="35"/>
      <c r="F13" s="35"/>
      <c r="G13" s="35"/>
      <c r="H13" s="35"/>
      <c r="I13" s="35"/>
    </row>
    <row r="14" spans="2:11" x14ac:dyDescent="0.35">
      <c r="B14" s="30" t="str">
        <f>'Balance Sheet'!A7</f>
        <v>Borrowings</v>
      </c>
      <c r="C14" s="30"/>
      <c r="D14" s="31">
        <f>'Historical '!C29</f>
        <v>88501.41</v>
      </c>
      <c r="E14" s="31">
        <f>'Historical '!D29</f>
        <v>75561.350000000006</v>
      </c>
      <c r="F14" s="31">
        <f>'Historical '!E29</f>
        <v>84893.05</v>
      </c>
      <c r="G14" s="31">
        <f>'Historical '!F29</f>
        <v>87082.12</v>
      </c>
      <c r="H14" s="31">
        <f>'Historical '!G29</f>
        <v>94801.05</v>
      </c>
      <c r="I14" s="31">
        <f>'Historical '!H29</f>
        <v>92381.68</v>
      </c>
    </row>
    <row r="15" spans="2:11" x14ac:dyDescent="0.35">
      <c r="B15" s="32" t="s">
        <v>97</v>
      </c>
      <c r="C15" s="36"/>
      <c r="D15" s="33">
        <v>0</v>
      </c>
      <c r="E15" s="33">
        <f>E14/D14-1</f>
        <v>-0.14621303773578298</v>
      </c>
      <c r="F15" s="37">
        <f t="shared" ref="F15:I15" si="2">F14/E14-1</f>
        <v>0.12349832288597273</v>
      </c>
      <c r="G15" s="37">
        <f t="shared" si="2"/>
        <v>2.5786209825185757E-2</v>
      </c>
      <c r="H15" s="37">
        <f t="shared" si="2"/>
        <v>8.8639665639743459E-2</v>
      </c>
      <c r="I15" s="37">
        <f t="shared" si="2"/>
        <v>-2.5520497926974528E-2</v>
      </c>
    </row>
    <row r="16" spans="2:11" ht="6" customHeight="1" x14ac:dyDescent="0.35">
      <c r="B16" s="34"/>
      <c r="C16" s="23"/>
      <c r="D16" s="23"/>
      <c r="E16" s="35"/>
      <c r="F16" s="35"/>
      <c r="G16" s="35"/>
      <c r="H16" s="35"/>
      <c r="I16" s="35"/>
    </row>
    <row r="17" spans="2:9" x14ac:dyDescent="0.35">
      <c r="B17" s="30" t="str">
        <f>'Balance Sheet'!A8</f>
        <v>Other Liabilities</v>
      </c>
      <c r="C17" s="30"/>
      <c r="D17" s="31">
        <f>'Historical '!C30</f>
        <v>52803.009999999995</v>
      </c>
      <c r="E17" s="31">
        <f>'Historical '!D30</f>
        <v>52399.28</v>
      </c>
      <c r="F17" s="31">
        <f>'Historical '!E30</f>
        <v>56193.630000000005</v>
      </c>
      <c r="G17" s="31">
        <f>'Historical '!F30</f>
        <v>57195.539999999994</v>
      </c>
      <c r="H17" s="31">
        <f>'Historical '!G30</f>
        <v>58518.899999999994</v>
      </c>
      <c r="I17" s="31">
        <f>'Historical '!H30</f>
        <v>64933.289999999994</v>
      </c>
    </row>
    <row r="18" spans="2:9" x14ac:dyDescent="0.35">
      <c r="B18" s="32" t="s">
        <v>97</v>
      </c>
      <c r="C18" s="36"/>
      <c r="D18" s="33">
        <v>0</v>
      </c>
      <c r="E18" s="33">
        <f>E17/D17-1</f>
        <v>-7.645965637186114E-3</v>
      </c>
      <c r="F18" s="37">
        <f t="shared" ref="F18:I18" si="3">F17/E17-1</f>
        <v>7.2412254519527819E-2</v>
      </c>
      <c r="G18" s="37">
        <f t="shared" si="3"/>
        <v>1.7829600970785897E-2</v>
      </c>
      <c r="H18" s="37">
        <f t="shared" si="3"/>
        <v>2.3137468410998396E-2</v>
      </c>
      <c r="I18" s="37">
        <f t="shared" si="3"/>
        <v>0.10961227910982596</v>
      </c>
    </row>
    <row r="19" spans="2:9" ht="6" customHeight="1" x14ac:dyDescent="0.35">
      <c r="B19" s="34"/>
      <c r="C19" s="23"/>
      <c r="D19" s="23"/>
      <c r="E19" s="35"/>
      <c r="F19" s="35"/>
      <c r="G19" s="35"/>
      <c r="H19" s="35"/>
      <c r="I19" s="35"/>
    </row>
    <row r="20" spans="2:9" x14ac:dyDescent="0.35">
      <c r="B20" s="30" t="s">
        <v>586</v>
      </c>
      <c r="C20" s="30"/>
      <c r="D20" s="31">
        <f>'Historical '!C31</f>
        <v>25967</v>
      </c>
      <c r="E20" s="31">
        <f>'Historical '!D31</f>
        <v>36765</v>
      </c>
      <c r="F20" s="31">
        <f>'Historical '!E31</f>
        <v>37833</v>
      </c>
      <c r="G20" s="31">
        <f>'Historical '!F31</f>
        <v>30228</v>
      </c>
      <c r="H20" s="31">
        <f>'Historical '!G31</f>
        <v>29314</v>
      </c>
      <c r="I20" s="31">
        <f>'Historical '!H31</f>
        <v>34810</v>
      </c>
    </row>
    <row r="21" spans="2:9" x14ac:dyDescent="0.35">
      <c r="B21" s="32" t="s">
        <v>97</v>
      </c>
      <c r="C21" s="36"/>
      <c r="D21" s="33">
        <v>0</v>
      </c>
      <c r="E21" s="33">
        <f>E20/D20-1</f>
        <v>0.41583548349828625</v>
      </c>
      <c r="F21" s="37">
        <f t="shared" ref="F21:I21" si="4">F20/E20-1</f>
        <v>2.9049367605059162E-2</v>
      </c>
      <c r="G21" s="37">
        <f t="shared" si="4"/>
        <v>-0.20101498691618425</v>
      </c>
      <c r="H21" s="37">
        <f t="shared" si="4"/>
        <v>-3.0236866481407998E-2</v>
      </c>
      <c r="I21" s="37">
        <f t="shared" si="4"/>
        <v>0.18748720747765568</v>
      </c>
    </row>
    <row r="22" spans="2:9" ht="6" customHeight="1" x14ac:dyDescent="0.35">
      <c r="B22" s="34"/>
      <c r="C22" s="23"/>
      <c r="D22" s="23"/>
      <c r="E22" s="35"/>
      <c r="F22" s="35"/>
      <c r="G22" s="35"/>
      <c r="H22" s="35"/>
      <c r="I22" s="35"/>
    </row>
    <row r="23" spans="2:9" x14ac:dyDescent="0.35">
      <c r="B23" s="30" t="s">
        <v>587</v>
      </c>
      <c r="C23" s="30"/>
      <c r="D23" s="31">
        <f>'Historical '!C32</f>
        <v>2399</v>
      </c>
      <c r="E23" s="31">
        <f>'Historical '!D32</f>
        <v>3253</v>
      </c>
      <c r="F23" s="31">
        <f>'Historical '!E32</f>
        <v>3394</v>
      </c>
      <c r="G23" s="31">
        <f>'Historical '!F32</f>
        <v>2771</v>
      </c>
      <c r="H23" s="31">
        <f>'Historical '!G32</f>
        <v>1655</v>
      </c>
      <c r="I23" s="31">
        <f>'Historical '!H32</f>
        <v>2222</v>
      </c>
    </row>
    <row r="24" spans="2:9" x14ac:dyDescent="0.35">
      <c r="B24" s="32" t="s">
        <v>97</v>
      </c>
      <c r="C24" s="36"/>
      <c r="D24" s="33">
        <v>0</v>
      </c>
      <c r="E24" s="33">
        <f>E23/D23-1</f>
        <v>0.35598165902459367</v>
      </c>
      <c r="F24" s="37">
        <f t="shared" ref="F24:I24" si="5">F23/E23-1</f>
        <v>4.3344604980018353E-2</v>
      </c>
      <c r="G24" s="37">
        <f t="shared" si="5"/>
        <v>-0.18355922215674725</v>
      </c>
      <c r="H24" s="37">
        <f t="shared" si="5"/>
        <v>-0.40274269216889214</v>
      </c>
      <c r="I24" s="37">
        <f t="shared" si="5"/>
        <v>0.3425981873111783</v>
      </c>
    </row>
    <row r="25" spans="2:9" ht="6" customHeight="1" x14ac:dyDescent="0.35">
      <c r="B25" s="34"/>
      <c r="C25" s="23"/>
      <c r="D25" s="23"/>
      <c r="E25" s="35"/>
      <c r="F25" s="35"/>
      <c r="G25" s="35"/>
      <c r="H25" s="35"/>
      <c r="I25" s="35"/>
    </row>
    <row r="26" spans="2:9" x14ac:dyDescent="0.35">
      <c r="B26" s="30" t="s">
        <v>588</v>
      </c>
      <c r="C26" s="30"/>
      <c r="D26" s="31">
        <f>'Historical '!C35</f>
        <v>135775.18</v>
      </c>
      <c r="E26" s="31">
        <f>'Historical '!D35</f>
        <v>133287.82999999999</v>
      </c>
      <c r="F26" s="31">
        <f>'Historical '!E35</f>
        <v>146621.46</v>
      </c>
      <c r="G26" s="31">
        <f>'Historical '!F35</f>
        <v>148814.38</v>
      </c>
      <c r="H26" s="31">
        <f>'Historical '!G35</f>
        <v>150914.06</v>
      </c>
      <c r="I26" s="31">
        <f>'Historical '!H35</f>
        <v>179908.13</v>
      </c>
    </row>
    <row r="27" spans="2:9" x14ac:dyDescent="0.35">
      <c r="B27" s="32" t="s">
        <v>97</v>
      </c>
      <c r="C27" s="36"/>
      <c r="D27" s="33">
        <v>0</v>
      </c>
      <c r="E27" s="33">
        <f>E26/D26-1</f>
        <v>-1.8319622187206841E-2</v>
      </c>
      <c r="F27" s="37">
        <f t="shared" ref="F27:I27" si="6">F26/E26-1</f>
        <v>0.10003636491043477</v>
      </c>
      <c r="G27" s="37">
        <f t="shared" si="6"/>
        <v>1.4956337223759775E-2</v>
      </c>
      <c r="H27" s="37">
        <f t="shared" si="6"/>
        <v>1.4109389159837837E-2</v>
      </c>
      <c r="I27" s="37">
        <f t="shared" si="6"/>
        <v>0.19212305334572544</v>
      </c>
    </row>
    <row r="28" spans="2:9" ht="6" customHeight="1" x14ac:dyDescent="0.35">
      <c r="B28" s="34"/>
      <c r="C28" s="23"/>
      <c r="D28" s="23"/>
      <c r="E28" s="35"/>
      <c r="F28" s="35"/>
      <c r="G28" s="35"/>
      <c r="H28" s="35"/>
      <c r="I28" s="35"/>
    </row>
    <row r="29" spans="2:9" x14ac:dyDescent="0.35">
      <c r="B29" s="30" t="s">
        <v>28</v>
      </c>
      <c r="C29" s="30"/>
      <c r="D29" s="31">
        <f>'Historical '!C36</f>
        <v>19007.400000000001</v>
      </c>
      <c r="E29" s="31">
        <f>'Historical '!D36</f>
        <v>22045.55</v>
      </c>
      <c r="F29" s="31">
        <f>'Historical '!E36</f>
        <v>31213.02</v>
      </c>
      <c r="G29" s="31">
        <f>'Historical '!F36</f>
        <v>34355.53</v>
      </c>
      <c r="H29" s="31">
        <f>'Historical '!G36</f>
        <v>41622.35</v>
      </c>
      <c r="I29" s="31">
        <f>'Historical '!H36</f>
        <v>28496.71</v>
      </c>
    </row>
    <row r="30" spans="2:9" x14ac:dyDescent="0.35">
      <c r="B30" s="32" t="s">
        <v>97</v>
      </c>
      <c r="C30" s="36"/>
      <c r="D30" s="33">
        <v>0</v>
      </c>
      <c r="E30" s="33">
        <f>E29/D29-1</f>
        <v>0.15984037795805839</v>
      </c>
      <c r="F30" s="37">
        <f t="shared" ref="F30:I30" si="7">F29/E29-1</f>
        <v>0.41584219944614675</v>
      </c>
      <c r="G30" s="37">
        <f t="shared" si="7"/>
        <v>0.10067946004583983</v>
      </c>
      <c r="H30" s="37">
        <f t="shared" si="7"/>
        <v>0.21151820391069509</v>
      </c>
      <c r="I30" s="37">
        <f t="shared" si="7"/>
        <v>-0.31535076707586185</v>
      </c>
    </row>
    <row r="31" spans="2:9" ht="6" customHeight="1" x14ac:dyDescent="0.35">
      <c r="B31" s="34"/>
      <c r="C31" s="23"/>
      <c r="D31" s="23"/>
      <c r="E31" s="35"/>
      <c r="F31" s="35"/>
      <c r="G31" s="35"/>
      <c r="H31" s="35"/>
      <c r="I31" s="35"/>
    </row>
    <row r="32" spans="2:9" x14ac:dyDescent="0.35">
      <c r="B32" s="30" t="s">
        <v>589</v>
      </c>
      <c r="C32" s="30"/>
      <c r="D32" s="31">
        <f>'Historical '!C37</f>
        <v>10681.93</v>
      </c>
      <c r="E32" s="31">
        <f>'Historical '!D37</f>
        <v>13139.85</v>
      </c>
      <c r="F32" s="31">
        <f>'Historical '!E37</f>
        <v>8410.31</v>
      </c>
      <c r="G32" s="31">
        <f>'Historical '!F37</f>
        <v>6257.57</v>
      </c>
      <c r="H32" s="31">
        <f>'Historical '!G37</f>
        <v>6194.11</v>
      </c>
      <c r="I32" s="31">
        <f>'Historical '!H37</f>
        <v>7088.85</v>
      </c>
    </row>
    <row r="33" spans="2:9" x14ac:dyDescent="0.35">
      <c r="B33" s="32" t="s">
        <v>97</v>
      </c>
      <c r="C33" s="36"/>
      <c r="D33" s="33">
        <v>0</v>
      </c>
      <c r="E33" s="33">
        <f>E32/D32-1</f>
        <v>0.23010074022203852</v>
      </c>
      <c r="F33" s="37">
        <f t="shared" ref="F33:I33" si="8">F32/E32-1</f>
        <v>-0.35993865987815699</v>
      </c>
      <c r="G33" s="37">
        <f t="shared" si="8"/>
        <v>-0.25596440559265943</v>
      </c>
      <c r="H33" s="37">
        <f t="shared" si="8"/>
        <v>-1.0141316837046999E-2</v>
      </c>
      <c r="I33" s="37">
        <f t="shared" si="8"/>
        <v>0.14445013085011427</v>
      </c>
    </row>
    <row r="34" spans="2:9" ht="6" customHeight="1" x14ac:dyDescent="0.35">
      <c r="B34" s="27"/>
      <c r="C34" s="28"/>
      <c r="D34" s="28"/>
      <c r="E34" s="29"/>
      <c r="F34" s="29"/>
      <c r="G34" s="29"/>
      <c r="H34" s="29"/>
      <c r="I34" s="29"/>
    </row>
    <row r="35" spans="2:9" x14ac:dyDescent="0.35">
      <c r="B35" s="30" t="s">
        <v>590</v>
      </c>
      <c r="C35" s="30"/>
      <c r="D35" s="31">
        <f>'Historical '!C38</f>
        <v>29846.279999999992</v>
      </c>
      <c r="E35" s="31">
        <f>'Historical '!D38</f>
        <v>36978.69</v>
      </c>
      <c r="F35" s="31">
        <f>'Historical '!E38</f>
        <v>23121.160000000003</v>
      </c>
      <c r="G35" s="31">
        <f>'Historical '!F38</f>
        <v>15786.18</v>
      </c>
      <c r="H35" s="31">
        <f>'Historical '!G38</f>
        <v>15231.080000000002</v>
      </c>
      <c r="I35" s="31">
        <f>'Historical '!H38</f>
        <v>18797.289999999994</v>
      </c>
    </row>
    <row r="36" spans="2:9" x14ac:dyDescent="0.35">
      <c r="B36" s="32" t="s">
        <v>97</v>
      </c>
      <c r="C36" s="36"/>
      <c r="D36" s="33">
        <v>0</v>
      </c>
      <c r="E36" s="33">
        <f>E35/D35-1</f>
        <v>0.23897148991432138</v>
      </c>
      <c r="F36" s="37">
        <f t="shared" ref="F36" si="9">F35/E35-1</f>
        <v>-0.37474366993530595</v>
      </c>
      <c r="G36" s="37">
        <f t="shared" ref="G36" si="10">G35/F35-1</f>
        <v>-0.31724100347906425</v>
      </c>
      <c r="H36" s="37">
        <f t="shared" ref="H36" si="11">H35/G35-1</f>
        <v>-3.5163668474577081E-2</v>
      </c>
      <c r="I36" s="37">
        <f t="shared" ref="I36" si="12">I35/H35-1</f>
        <v>0.23414032360147741</v>
      </c>
    </row>
    <row r="37" spans="2:9" ht="6" customHeight="1" x14ac:dyDescent="0.35"/>
    <row r="38" spans="2:9" x14ac:dyDescent="0.35">
      <c r="B38" s="30" t="s">
        <v>591</v>
      </c>
      <c r="C38" s="30"/>
      <c r="D38" s="31">
        <f>'Historical '!C41</f>
        <v>9539.84</v>
      </c>
      <c r="E38" s="31">
        <f>'Historical '!D41</f>
        <v>12246.43</v>
      </c>
      <c r="F38" s="31">
        <f>'Historical '!E41</f>
        <v>8257.24</v>
      </c>
      <c r="G38" s="31">
        <f>'Historical '!F41</f>
        <v>6263.53</v>
      </c>
      <c r="H38" s="31">
        <f>'Historical '!G41</f>
        <v>5260.06</v>
      </c>
      <c r="I38" s="31">
        <f>'Historical '!H41</f>
        <v>4916.8900000000003</v>
      </c>
    </row>
    <row r="39" spans="2:9" x14ac:dyDescent="0.35">
      <c r="B39" s="32" t="s">
        <v>97</v>
      </c>
      <c r="C39" s="36"/>
      <c r="D39" s="33">
        <v>0</v>
      </c>
      <c r="E39" s="33">
        <f>E38/D38-1</f>
        <v>0.28371440191869057</v>
      </c>
      <c r="F39" s="37">
        <f t="shared" ref="F39:I39" si="13">F38/E38-1</f>
        <v>-0.32574309410987534</v>
      </c>
      <c r="G39" s="37">
        <f t="shared" si="13"/>
        <v>-0.24144992757870665</v>
      </c>
      <c r="H39" s="37">
        <f t="shared" si="13"/>
        <v>-0.16020838089703404</v>
      </c>
      <c r="I39" s="37">
        <f t="shared" si="13"/>
        <v>-6.5240700676418184E-2</v>
      </c>
    </row>
    <row r="40" spans="2:9" ht="4.25" customHeight="1" x14ac:dyDescent="0.35"/>
    <row r="41" spans="2:9" x14ac:dyDescent="0.35">
      <c r="B41" s="30" t="s">
        <v>336</v>
      </c>
      <c r="C41" s="30"/>
      <c r="D41" s="31">
        <f>'Historical '!C42</f>
        <v>33276.379999999997</v>
      </c>
      <c r="E41" s="31">
        <f>'Historical '!D42</f>
        <v>48824.39</v>
      </c>
      <c r="F41" s="31">
        <f>'Historical '!E42</f>
        <v>54415.33</v>
      </c>
      <c r="G41" s="31">
        <f>'Historical '!F42</f>
        <v>49157.51</v>
      </c>
      <c r="H41" s="31">
        <f>'Historical '!G42</f>
        <v>44589.94</v>
      </c>
      <c r="I41" s="31">
        <f>'Historical '!H42</f>
        <v>47249.22</v>
      </c>
    </row>
    <row r="42" spans="2:9" x14ac:dyDescent="0.35">
      <c r="B42" s="32" t="s">
        <v>97</v>
      </c>
      <c r="C42" s="36"/>
      <c r="D42" s="33">
        <v>0</v>
      </c>
      <c r="E42" s="33">
        <f>E41/D41-1</f>
        <v>0.46723862391281745</v>
      </c>
      <c r="F42" s="37">
        <f t="shared" ref="F42" si="14">F41/E41-1</f>
        <v>0.11451121048312118</v>
      </c>
      <c r="G42" s="37">
        <f t="shared" ref="G42" si="15">G41/F41-1</f>
        <v>-9.6623874191335446E-2</v>
      </c>
      <c r="H42" s="37">
        <f t="shared" ref="H42" si="16">H41/G41-1</f>
        <v>-9.2917033429886886E-2</v>
      </c>
      <c r="I42" s="37">
        <f t="shared" ref="I42" si="17">I41/H41-1</f>
        <v>5.9638564214260059E-2</v>
      </c>
    </row>
    <row r="43" spans="2:9" ht="5.4" customHeight="1" x14ac:dyDescent="0.35"/>
    <row r="44" spans="2:9" x14ac:dyDescent="0.35">
      <c r="B44" s="30" t="s">
        <v>592</v>
      </c>
      <c r="C44" s="30"/>
      <c r="D44" s="31">
        <f>'Historical '!C43</f>
        <v>5782.18</v>
      </c>
      <c r="E44" s="31">
        <f>'Historical '!D43</f>
        <v>15898.93</v>
      </c>
      <c r="F44" s="31">
        <f>'Historical '!E43</f>
        <v>13357.26</v>
      </c>
      <c r="G44" s="31">
        <f>'Historical '!F43</f>
        <v>8677.7199999999993</v>
      </c>
      <c r="H44" s="31">
        <f>'Historical '!G43</f>
        <v>11646.98</v>
      </c>
      <c r="I44" s="31">
        <f>'Historical '!H43</f>
        <v>10057.530000000001</v>
      </c>
    </row>
    <row r="45" spans="2:9" x14ac:dyDescent="0.35">
      <c r="B45" s="32" t="s">
        <v>97</v>
      </c>
      <c r="C45" s="36"/>
      <c r="D45" s="33">
        <v>0</v>
      </c>
      <c r="E45" s="33">
        <f>E44/D44-1</f>
        <v>1.7496428682607599</v>
      </c>
      <c r="F45" s="37">
        <f t="shared" ref="F45" si="18">F44/E44-1</f>
        <v>-0.15986421727751488</v>
      </c>
      <c r="G45" s="37">
        <f t="shared" ref="G45" si="19">G44/F44-1</f>
        <v>-0.35033682057547733</v>
      </c>
      <c r="H45" s="37">
        <f t="shared" ref="H45" si="20">H44/G44-1</f>
        <v>0.34217052405470572</v>
      </c>
      <c r="I45" s="37">
        <f t="shared" ref="I45" si="21">I44/H44-1</f>
        <v>-0.13646885287001431</v>
      </c>
    </row>
    <row r="46" spans="2:9" ht="3.65" customHeight="1" x14ac:dyDescent="0.35"/>
  </sheetData>
  <mergeCells count="2">
    <mergeCell ref="B1:I2"/>
    <mergeCell ref="B4:I4"/>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6E101360-ADF3-42B0-B4A5-4A0AA2CA3FFA}">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'!D36:I36</xm:f>
              <xm:sqref>K36</xm:sqref>
            </x14:sparkline>
          </x14:sparklines>
        </x14:sparklineGroup>
        <x14:sparklineGroup displayEmptyCellsAs="gap" markers="1" xr2:uid="{79349B3C-9895-4A67-B780-100E5253727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'!D33:I33</xm:f>
              <xm:sqref>K33</xm:sqref>
            </x14:sparkline>
          </x14:sparklines>
        </x14:sparklineGroup>
        <x14:sparklineGroup displayEmptyCellsAs="gap" markers="1" xr2:uid="{C655A685-9C45-4948-8A79-066F433864A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'!D30:I30</xm:f>
              <xm:sqref>K30</xm:sqref>
            </x14:sparkline>
          </x14:sparklines>
        </x14:sparklineGroup>
        <x14:sparklineGroup displayEmptyCellsAs="gap" markers="1" xr2:uid="{B99F9BB7-3100-48B2-853C-2A4D0F14C71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'!D27:I27</xm:f>
              <xm:sqref>K27</xm:sqref>
            </x14:sparkline>
          </x14:sparklines>
        </x14:sparklineGroup>
        <x14:sparklineGroup displayEmptyCellsAs="gap" markers="1" xr2:uid="{5F9C04B7-E2AD-46A6-9C20-0BDF1D07E2D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'!D24:I24</xm:f>
              <xm:sqref>K24</xm:sqref>
            </x14:sparkline>
          </x14:sparklines>
        </x14:sparklineGroup>
        <x14:sparklineGroup displayEmptyCellsAs="gap" markers="1" xr2:uid="{BED4FC9C-CD79-420B-9A4C-B290C76B483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'!D21:I21</xm:f>
              <xm:sqref>K21</xm:sqref>
            </x14:sparkline>
          </x14:sparklines>
        </x14:sparklineGroup>
        <x14:sparklineGroup displayEmptyCellsAs="gap" markers="1" xr2:uid="{9E4BE377-BDB4-4647-BA6A-89A1D30367F0}">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'!D18:I18</xm:f>
              <xm:sqref>K18</xm:sqref>
            </x14:sparkline>
          </x14:sparklines>
        </x14:sparklineGroup>
        <x14:sparklineGroup displayEmptyCellsAs="gap" markers="1" xr2:uid="{1FD87BC7-FBE8-4194-84D9-CCEEEE07201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'!D15:I15</xm:f>
              <xm:sqref>K15</xm:sqref>
            </x14:sparkline>
          </x14:sparklines>
        </x14:sparklineGroup>
        <x14:sparklineGroup displayEmptyCellsAs="gap" markers="1" xr2:uid="{99B146F6-8525-484E-9309-396A08510B41}">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'!D12:I12</xm:f>
              <xm:sqref>K12</xm:sqref>
            </x14:sparkline>
          </x14:sparklines>
        </x14:sparklineGroup>
        <x14:sparklineGroup displayEmptyCellsAs="gap" markers="1" xr2:uid="{70406734-808D-45AC-8F13-323EB6B9582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'!D9:I9</xm:f>
              <xm:sqref>K9</xm:sqref>
            </x14:sparkline>
          </x14:sparklines>
        </x14:sparklineGroup>
        <x14:sparklineGroup displayEmptyCellsAs="gap" markers="1" xr2:uid="{B50646FD-0716-4B79-9B66-0254BFC57C21}">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'!D39:I39</xm:f>
              <xm:sqref>K39</xm:sqref>
            </x14:sparkline>
          </x14:sparklines>
        </x14:sparklineGroup>
        <x14:sparklineGroup displayEmptyCellsAs="gap" markers="1" xr2:uid="{E472FA97-BD04-4CB5-9413-26339CE472E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'!D42:I42</xm:f>
              <xm:sqref>K42</xm:sqref>
            </x14:sparkline>
          </x14:sparklines>
        </x14:sparklineGroup>
        <x14:sparklineGroup displayEmptyCellsAs="gap" markers="1" xr2:uid="{2EB590C9-3FFD-4604-9D21-AAEDD3C2EB7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'!D45:I45</xm:f>
              <xm:sqref>K45</xm:sqref>
            </x14:sparkline>
          </x14:sparklines>
        </x14:sparklineGroup>
        <x14:sparklineGroup displayEmptyCellsAs="gap" markers="1" xr2:uid="{C1FD4D8C-57DD-42AB-9603-E32960CF4F3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'Comparative Balance Sheet  '!D43:I43</xm:f>
              <xm:sqref>K43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C141-9D9C-4948-9FAB-D28916A082A7}">
  <dimension ref="B1:K46"/>
  <sheetViews>
    <sheetView showGridLines="0" workbookViewId="0">
      <selection sqref="A1:XFD1048576"/>
    </sheetView>
  </sheetViews>
  <sheetFormatPr defaultRowHeight="14.5" x14ac:dyDescent="0.35"/>
  <cols>
    <col min="1" max="1" width="1.90625" style="253" customWidth="1"/>
    <col min="2" max="2" width="21" style="253" bestFit="1" customWidth="1"/>
    <col min="3" max="3" width="8.7265625" style="253"/>
    <col min="4" max="9" width="12.81640625" style="253" bestFit="1" customWidth="1"/>
    <col min="10" max="10" width="1.6328125" style="253" customWidth="1"/>
    <col min="11" max="11" width="12.54296875" style="253" bestFit="1" customWidth="1"/>
    <col min="12" max="16384" width="8.7265625" style="253"/>
  </cols>
  <sheetData>
    <row r="1" spans="2:11" x14ac:dyDescent="0.35">
      <c r="B1" s="238" t="s">
        <v>93</v>
      </c>
      <c r="C1" s="238"/>
      <c r="D1" s="238"/>
      <c r="E1" s="238"/>
      <c r="F1" s="238"/>
      <c r="G1" s="238"/>
      <c r="H1" s="238"/>
      <c r="I1" s="238"/>
    </row>
    <row r="2" spans="2:11" x14ac:dyDescent="0.35">
      <c r="B2" s="238"/>
      <c r="C2" s="238"/>
      <c r="D2" s="238"/>
      <c r="E2" s="238"/>
      <c r="F2" s="238"/>
      <c r="G2" s="238"/>
      <c r="H2" s="238"/>
      <c r="I2" s="238"/>
    </row>
    <row r="3" spans="2:11" ht="9" customHeight="1" x14ac:dyDescent="0.35"/>
    <row r="4" spans="2:11" ht="15.5" x14ac:dyDescent="0.35">
      <c r="B4" s="240" t="s">
        <v>98</v>
      </c>
      <c r="C4" s="240"/>
      <c r="D4" s="240"/>
      <c r="E4" s="240"/>
      <c r="F4" s="240"/>
      <c r="G4" s="240"/>
      <c r="H4" s="240"/>
      <c r="I4" s="240"/>
    </row>
    <row r="5" spans="2:11" x14ac:dyDescent="0.35">
      <c r="B5" s="253" t="s">
        <v>94</v>
      </c>
    </row>
    <row r="6" spans="2:11" x14ac:dyDescent="0.35">
      <c r="B6" s="25" t="s">
        <v>96</v>
      </c>
      <c r="C6" s="25"/>
      <c r="D6" s="26">
        <v>44256</v>
      </c>
      <c r="E6" s="26">
        <f>'Profit &amp; Loss'!G3</f>
        <v>44651</v>
      </c>
      <c r="F6" s="26">
        <f>'Profit &amp; Loss'!H3</f>
        <v>45016</v>
      </c>
      <c r="G6" s="26">
        <f>'Profit &amp; Loss'!I3</f>
        <v>45382</v>
      </c>
      <c r="H6" s="26">
        <f>'Profit &amp; Loss'!J3</f>
        <v>45747</v>
      </c>
      <c r="I6" s="26">
        <f>'Profit &amp; Loss'!K3</f>
        <v>46112</v>
      </c>
      <c r="K6" s="25" t="s">
        <v>99</v>
      </c>
    </row>
    <row r="7" spans="2:11" ht="6" customHeight="1" x14ac:dyDescent="0.35"/>
    <row r="8" spans="2:11" x14ac:dyDescent="0.35">
      <c r="B8" s="30" t="str">
        <f>'Balance Sheet'!A4</f>
        <v>Equity Share Capital</v>
      </c>
      <c r="C8" s="30"/>
      <c r="D8" s="31">
        <f>'Historical '!C27</f>
        <v>1197.6099999999999</v>
      </c>
      <c r="E8" s="31">
        <f>'Historical '!D27</f>
        <v>1221.21</v>
      </c>
      <c r="F8" s="31">
        <f>'Historical '!E27</f>
        <v>1221.24</v>
      </c>
      <c r="G8" s="31">
        <f>'Historical '!F27</f>
        <v>1247.44</v>
      </c>
      <c r="H8" s="31">
        <f>'Historical '!G27</f>
        <v>1247.44</v>
      </c>
      <c r="I8" s="31">
        <f>'Historical '!H27</f>
        <v>1247.44</v>
      </c>
    </row>
    <row r="9" spans="2:11" x14ac:dyDescent="0.35">
      <c r="B9" s="32" t="s">
        <v>97</v>
      </c>
      <c r="C9" s="32"/>
      <c r="D9" s="33">
        <f>D8/'Historical '!C$46</f>
        <v>4.9100650943082547E-3</v>
      </c>
      <c r="E9" s="33">
        <f>E8/'Historical '!D$46</f>
        <v>4.3240662092253763E-3</v>
      </c>
      <c r="F9" s="33">
        <f>F8/'Historical '!E$46</f>
        <v>4.2791102237040787E-3</v>
      </c>
      <c r="G9" s="33">
        <f>G8/'Historical '!F$46</f>
        <v>4.631943821974494E-3</v>
      </c>
      <c r="H9" s="33">
        <f>H8/'Historical '!G$46</f>
        <v>4.528593736306926E-3</v>
      </c>
      <c r="I9" s="33">
        <f>I8/'Historical '!H$46</f>
        <v>4.2070100961632178E-3</v>
      </c>
    </row>
    <row r="10" spans="2:11" ht="6" customHeight="1" x14ac:dyDescent="0.35">
      <c r="B10" s="34"/>
      <c r="C10" s="23"/>
      <c r="D10" s="23"/>
      <c r="E10" s="35"/>
      <c r="F10" s="35"/>
      <c r="G10" s="35"/>
      <c r="H10" s="35"/>
      <c r="I10" s="35"/>
    </row>
    <row r="11" spans="2:11" x14ac:dyDescent="0.35">
      <c r="B11" s="30" t="str">
        <f>'Balance Sheet'!A5</f>
        <v>Reserves</v>
      </c>
      <c r="C11" s="30"/>
      <c r="D11" s="31">
        <f>'Historical '!C28</f>
        <v>73041.16</v>
      </c>
      <c r="E11" s="31">
        <f>'Historical '!D28</f>
        <v>113221.83</v>
      </c>
      <c r="F11" s="31">
        <f>'Historical '!E28</f>
        <v>101860.86</v>
      </c>
      <c r="G11" s="31">
        <f>'Historical '!F28</f>
        <v>90788.32</v>
      </c>
      <c r="H11" s="31">
        <f>'Historical '!G28</f>
        <v>89922.19</v>
      </c>
      <c r="I11" s="31">
        <f>'Historical '!H28</f>
        <v>100920.21</v>
      </c>
    </row>
    <row r="12" spans="2:11" x14ac:dyDescent="0.35">
      <c r="B12" s="32" t="s">
        <v>97</v>
      </c>
      <c r="C12" s="36"/>
      <c r="D12" s="33">
        <f>D11/'Historical '!C$46</f>
        <v>0.29946046723372749</v>
      </c>
      <c r="E12" s="33">
        <f>E11/'Historical '!D$46</f>
        <v>0.40089639722051079</v>
      </c>
      <c r="F12" s="33">
        <f>F11/'Historical '!E$46</f>
        <v>0.3569108835456502</v>
      </c>
      <c r="G12" s="33">
        <f>G11/'Historical '!F$46</f>
        <v>0.3371115227437339</v>
      </c>
      <c r="H12" s="33">
        <f>H11/'Historical '!G$46</f>
        <v>0.32644541331767563</v>
      </c>
      <c r="I12" s="33">
        <f>I11/'Historical '!H$46</f>
        <v>0.3403549207792857</v>
      </c>
    </row>
    <row r="13" spans="2:11" ht="6" customHeight="1" x14ac:dyDescent="0.35">
      <c r="B13" s="34"/>
      <c r="C13" s="23"/>
      <c r="D13" s="23"/>
      <c r="E13" s="35"/>
      <c r="F13" s="35"/>
      <c r="G13" s="35"/>
      <c r="H13" s="35"/>
      <c r="I13" s="35"/>
    </row>
    <row r="14" spans="2:11" x14ac:dyDescent="0.35">
      <c r="B14" s="30" t="str">
        <f>'Balance Sheet'!A7</f>
        <v>Borrowings</v>
      </c>
      <c r="C14" s="30"/>
      <c r="D14" s="31">
        <f>'Historical '!C29</f>
        <v>88501.41</v>
      </c>
      <c r="E14" s="31">
        <f>'Historical '!D29</f>
        <v>75561.350000000006</v>
      </c>
      <c r="F14" s="31">
        <f>'Historical '!E29</f>
        <v>84893.05</v>
      </c>
      <c r="G14" s="31">
        <f>'Historical '!F29</f>
        <v>87082.12</v>
      </c>
      <c r="H14" s="31">
        <f>'Historical '!G29</f>
        <v>94801.05</v>
      </c>
      <c r="I14" s="31">
        <f>'Historical '!H29</f>
        <v>92381.68</v>
      </c>
    </row>
    <row r="15" spans="2:11" x14ac:dyDescent="0.35">
      <c r="B15" s="32" t="s">
        <v>97</v>
      </c>
      <c r="C15" s="36"/>
      <c r="D15" s="33">
        <f>D14/'Historical '!C$46</f>
        <v>0.3628457377928237</v>
      </c>
      <c r="E15" s="33">
        <f>E14/'Historical '!D$46</f>
        <v>0.26754798950094733</v>
      </c>
      <c r="F15" s="33">
        <f>F14/'Historical '!E$46</f>
        <v>0.29745727144248596</v>
      </c>
      <c r="G15" s="33">
        <f>G14/'Historical '!F$46</f>
        <v>0.32334981060286783</v>
      </c>
      <c r="H15" s="33">
        <f>H14/'Historical '!G$46</f>
        <v>0.34415718689902497</v>
      </c>
      <c r="I15" s="33">
        <f>I14/'Historical '!H$46</f>
        <v>0.31155860038199801</v>
      </c>
    </row>
    <row r="16" spans="2:11" ht="6" customHeight="1" x14ac:dyDescent="0.35">
      <c r="B16" s="34"/>
      <c r="C16" s="23"/>
      <c r="D16" s="23"/>
      <c r="E16" s="35"/>
      <c r="F16" s="35"/>
      <c r="G16" s="35"/>
      <c r="H16" s="35"/>
      <c r="I16" s="35"/>
    </row>
    <row r="17" spans="2:9" x14ac:dyDescent="0.35">
      <c r="B17" s="30" t="str">
        <f>'Balance Sheet'!A8</f>
        <v>Other Liabilities</v>
      </c>
      <c r="C17" s="30"/>
      <c r="D17" s="31">
        <f>'Historical '!C30</f>
        <v>52803.009999999995</v>
      </c>
      <c r="E17" s="31">
        <f>'Historical '!D30</f>
        <v>52399.28</v>
      </c>
      <c r="F17" s="31">
        <f>'Historical '!E30</f>
        <v>56193.630000000005</v>
      </c>
      <c r="G17" s="31">
        <f>'Historical '!F30</f>
        <v>57195.539999999994</v>
      </c>
      <c r="H17" s="31">
        <f>'Historical '!G30</f>
        <v>58518.899999999994</v>
      </c>
      <c r="I17" s="31">
        <f>'Historical '!H30</f>
        <v>64933.289999999994</v>
      </c>
    </row>
    <row r="18" spans="2:9" x14ac:dyDescent="0.35">
      <c r="B18" s="32" t="s">
        <v>97</v>
      </c>
      <c r="C18" s="36"/>
      <c r="D18" s="33">
        <f>D17/'Historical '!C$46</f>
        <v>0.2164863488743495</v>
      </c>
      <c r="E18" s="33">
        <f>E17/'Historical '!D$46</f>
        <v>0.18553562125739148</v>
      </c>
      <c r="F18" s="33">
        <f>F17/'Historical '!E$46</f>
        <v>0.1968972000917463</v>
      </c>
      <c r="G18" s="33">
        <f>G17/'Historical '!F$46</f>
        <v>0.21237616891192762</v>
      </c>
      <c r="H18" s="33">
        <f>H17/'Historical '!G$46</f>
        <v>0.21244173987973075</v>
      </c>
      <c r="I18" s="33">
        <f>I17/'Historical '!H$46</f>
        <v>0.2189884937208155</v>
      </c>
    </row>
    <row r="19" spans="2:9" ht="6" customHeight="1" x14ac:dyDescent="0.35">
      <c r="B19" s="34"/>
      <c r="C19" s="23"/>
      <c r="D19" s="23"/>
      <c r="E19" s="35"/>
      <c r="F19" s="35"/>
      <c r="G19" s="35"/>
      <c r="H19" s="35"/>
      <c r="I19" s="35"/>
    </row>
    <row r="20" spans="2:9" x14ac:dyDescent="0.35">
      <c r="B20" s="30" t="s">
        <v>586</v>
      </c>
      <c r="C20" s="30"/>
      <c r="D20" s="31">
        <f>'Historical '!C31</f>
        <v>25967</v>
      </c>
      <c r="E20" s="31">
        <f>'Historical '!D31</f>
        <v>36765</v>
      </c>
      <c r="F20" s="31">
        <f>'Historical '!E31</f>
        <v>37833</v>
      </c>
      <c r="G20" s="31">
        <f>'Historical '!F31</f>
        <v>30228</v>
      </c>
      <c r="H20" s="31">
        <f>'Historical '!G31</f>
        <v>29314</v>
      </c>
      <c r="I20" s="31">
        <f>'Historical '!H31</f>
        <v>34810</v>
      </c>
    </row>
    <row r="21" spans="2:9" x14ac:dyDescent="0.35">
      <c r="B21" s="32" t="s">
        <v>97</v>
      </c>
      <c r="C21" s="36"/>
      <c r="D21" s="33">
        <f>D20/'Historical '!C$46</f>
        <v>0.10646175324513193</v>
      </c>
      <c r="E21" s="33">
        <f>E20/'Historical '!D$46</f>
        <v>0.13017768785235212</v>
      </c>
      <c r="F21" s="33">
        <f>F20/'Historical '!E$46</f>
        <v>0.13256327756493108</v>
      </c>
      <c r="G21" s="33">
        <f>G20/'Historical '!F$46</f>
        <v>0.11224138864445984</v>
      </c>
      <c r="H21" s="33">
        <f>H20/'Historical '!G$46</f>
        <v>0.10641890334292729</v>
      </c>
      <c r="I21" s="33">
        <f>I20/'Historical '!H$46</f>
        <v>0.11739724671923428</v>
      </c>
    </row>
    <row r="22" spans="2:9" ht="6" customHeight="1" x14ac:dyDescent="0.35">
      <c r="B22" s="34"/>
      <c r="C22" s="23"/>
      <c r="D22" s="23"/>
      <c r="E22" s="35"/>
      <c r="F22" s="35"/>
      <c r="G22" s="35"/>
      <c r="H22" s="35"/>
      <c r="I22" s="35"/>
    </row>
    <row r="23" spans="2:9" x14ac:dyDescent="0.35">
      <c r="B23" s="30" t="s">
        <v>587</v>
      </c>
      <c r="C23" s="30"/>
      <c r="D23" s="31">
        <f>'Historical '!C32</f>
        <v>2399</v>
      </c>
      <c r="E23" s="31">
        <f>'Historical '!D32</f>
        <v>3253</v>
      </c>
      <c r="F23" s="31">
        <f>'Historical '!E32</f>
        <v>3394</v>
      </c>
      <c r="G23" s="31">
        <f>'Historical '!F32</f>
        <v>2771</v>
      </c>
      <c r="H23" s="31">
        <f>'Historical '!G32</f>
        <v>1655</v>
      </c>
      <c r="I23" s="31">
        <f>'Historical '!H32</f>
        <v>2222</v>
      </c>
    </row>
    <row r="24" spans="2:9" x14ac:dyDescent="0.35">
      <c r="B24" s="32" t="s">
        <v>97</v>
      </c>
      <c r="C24" s="36"/>
      <c r="D24" s="33">
        <f>D23/'Historical '!C$46</f>
        <v>9.8356277596592413E-3</v>
      </c>
      <c r="E24" s="33">
        <f>E23/'Historical '!D$46</f>
        <v>1.1518237959573003E-2</v>
      </c>
      <c r="F24" s="33">
        <f>F23/'Historical '!E$46</f>
        <v>1.1892257131482464E-2</v>
      </c>
      <c r="G24" s="33">
        <f>G23/'Historical '!F$46</f>
        <v>1.0289165275036332E-2</v>
      </c>
      <c r="H24" s="33">
        <f>H23/'Historical '!G$46</f>
        <v>6.0081628243346067E-3</v>
      </c>
      <c r="I24" s="33">
        <f>I23/'Historical '!H$46</f>
        <v>7.4937283025032627E-3</v>
      </c>
    </row>
    <row r="25" spans="2:9" ht="6" customHeight="1" x14ac:dyDescent="0.35">
      <c r="B25" s="34"/>
      <c r="C25" s="23"/>
      <c r="D25" s="23"/>
      <c r="E25" s="35"/>
      <c r="F25" s="35"/>
      <c r="G25" s="35"/>
      <c r="H25" s="35"/>
      <c r="I25" s="35"/>
    </row>
    <row r="26" spans="2:9" x14ac:dyDescent="0.35">
      <c r="B26" s="30" t="s">
        <v>588</v>
      </c>
      <c r="C26" s="30"/>
      <c r="D26" s="31">
        <f>'Historical '!C35</f>
        <v>135775.18</v>
      </c>
      <c r="E26" s="31">
        <f>'Historical '!D35</f>
        <v>133287.82999999999</v>
      </c>
      <c r="F26" s="31">
        <f>'Historical '!E35</f>
        <v>146621.46</v>
      </c>
      <c r="G26" s="31">
        <f>'Historical '!F35</f>
        <v>148814.38</v>
      </c>
      <c r="H26" s="31">
        <f>'Historical '!G35</f>
        <v>150914.06</v>
      </c>
      <c r="I26" s="31">
        <f>'Historical '!H35</f>
        <v>179908.13</v>
      </c>
    </row>
    <row r="27" spans="2:9" x14ac:dyDescent="0.35">
      <c r="B27" s="32" t="s">
        <v>97</v>
      </c>
      <c r="C27" s="36"/>
      <c r="D27" s="33">
        <f>D26/'Historical '!C$46</f>
        <v>0.55666283012952489</v>
      </c>
      <c r="E27" s="33">
        <f>E26/'Historical '!D$46</f>
        <v>0.47194618599911259</v>
      </c>
      <c r="F27" s="33">
        <f>F26/'Historical '!E$46</f>
        <v>0.51374782065803504</v>
      </c>
      <c r="G27" s="33">
        <f>G26/'Historical '!F$46</f>
        <v>0.55257154497367789</v>
      </c>
      <c r="H27" s="33">
        <f>H26/'Historical '!G$46</f>
        <v>0.5478648005809077</v>
      </c>
      <c r="I27" s="33">
        <f>I26/'Historical '!H$46</f>
        <v>0.60674286482062845</v>
      </c>
    </row>
    <row r="28" spans="2:9" ht="6" customHeight="1" x14ac:dyDescent="0.35">
      <c r="B28" s="34"/>
      <c r="C28" s="23"/>
      <c r="D28" s="23"/>
      <c r="E28" s="35"/>
      <c r="F28" s="35"/>
      <c r="G28" s="35"/>
      <c r="H28" s="35"/>
      <c r="I28" s="35"/>
    </row>
    <row r="29" spans="2:9" x14ac:dyDescent="0.35">
      <c r="B29" s="30" t="s">
        <v>28</v>
      </c>
      <c r="C29" s="30"/>
      <c r="D29" s="31">
        <f>'Historical '!C36</f>
        <v>19007.400000000001</v>
      </c>
      <c r="E29" s="31">
        <f>'Historical '!D36</f>
        <v>22045.55</v>
      </c>
      <c r="F29" s="31">
        <f>'Historical '!E36</f>
        <v>31213.02</v>
      </c>
      <c r="G29" s="31">
        <f>'Historical '!F36</f>
        <v>34355.53</v>
      </c>
      <c r="H29" s="31">
        <f>'Historical '!G36</f>
        <v>41622.35</v>
      </c>
      <c r="I29" s="31">
        <f>'Historical '!H36</f>
        <v>28496.71</v>
      </c>
    </row>
    <row r="30" spans="2:9" x14ac:dyDescent="0.35">
      <c r="B30" s="32" t="s">
        <v>97</v>
      </c>
      <c r="C30" s="36"/>
      <c r="D30" s="33">
        <f>D29/'Historical '!C$46</f>
        <v>7.7928183025822037E-2</v>
      </c>
      <c r="E30" s="33">
        <f>E29/'Historical '!D$46</f>
        <v>7.8058988887077962E-2</v>
      </c>
      <c r="F30" s="33">
        <f>F29/'Historical '!E$46</f>
        <v>0.10936748959637736</v>
      </c>
      <c r="G30" s="33">
        <f>G29/'Historical '!F$46</f>
        <v>0.12756756632315733</v>
      </c>
      <c r="H30" s="33">
        <f>H29/'Historical '!G$46</f>
        <v>0.15110202775313808</v>
      </c>
      <c r="I30" s="33">
        <f>I29/'Historical '!H$46</f>
        <v>9.6105581573009788E-2</v>
      </c>
    </row>
    <row r="31" spans="2:9" ht="6" customHeight="1" x14ac:dyDescent="0.35">
      <c r="B31" s="34"/>
      <c r="C31" s="23"/>
      <c r="D31" s="23"/>
      <c r="E31" s="35"/>
      <c r="F31" s="35"/>
      <c r="G31" s="35"/>
      <c r="H31" s="35"/>
      <c r="I31" s="35"/>
    </row>
    <row r="32" spans="2:9" x14ac:dyDescent="0.35">
      <c r="B32" s="30" t="s">
        <v>589</v>
      </c>
      <c r="C32" s="30"/>
      <c r="D32" s="31">
        <f>'Historical '!C37</f>
        <v>10681.93</v>
      </c>
      <c r="E32" s="31">
        <f>'Historical '!D37</f>
        <v>13139.85</v>
      </c>
      <c r="F32" s="31">
        <f>'Historical '!E37</f>
        <v>8410.31</v>
      </c>
      <c r="G32" s="31">
        <f>'Historical '!F37</f>
        <v>6257.57</v>
      </c>
      <c r="H32" s="31">
        <f>'Historical '!G37</f>
        <v>6194.11</v>
      </c>
      <c r="I32" s="31">
        <f>'Historical '!H37</f>
        <v>7088.85</v>
      </c>
    </row>
    <row r="33" spans="2:9" x14ac:dyDescent="0.35">
      <c r="B33" s="32" t="s">
        <v>97</v>
      </c>
      <c r="C33" s="36"/>
      <c r="D33" s="33">
        <f>D32/'Historical '!C$46</f>
        <v>4.3794700806476385E-2</v>
      </c>
      <c r="E33" s="33">
        <f>E32/'Historical '!D$46</f>
        <v>4.6525643729817198E-2</v>
      </c>
      <c r="F33" s="33">
        <f>F32/'Historical '!E$46</f>
        <v>2.9468936085880457E-2</v>
      </c>
      <c r="G33" s="33">
        <f>G32/'Historical '!F$46</f>
        <v>2.323535617109675E-2</v>
      </c>
      <c r="H33" s="33">
        <f>H32/'Historical '!G$46</f>
        <v>2.2486538629510108E-2</v>
      </c>
      <c r="I33" s="33">
        <f>I32/'Historical '!H$46</f>
        <v>2.390725287002712E-2</v>
      </c>
    </row>
    <row r="34" spans="2:9" ht="6" customHeight="1" x14ac:dyDescent="0.35">
      <c r="B34" s="27"/>
      <c r="C34" s="28"/>
      <c r="D34" s="28"/>
      <c r="E34" s="29"/>
      <c r="F34" s="29"/>
      <c r="G34" s="29"/>
      <c r="H34" s="29"/>
      <c r="I34" s="29"/>
    </row>
    <row r="35" spans="2:9" x14ac:dyDescent="0.35">
      <c r="B35" s="30" t="s">
        <v>590</v>
      </c>
      <c r="C35" s="30"/>
      <c r="D35" s="31">
        <f>'Historical '!C38</f>
        <v>29846.279999999992</v>
      </c>
      <c r="E35" s="31">
        <f>'Historical '!D38</f>
        <v>36978.69</v>
      </c>
      <c r="F35" s="31">
        <f>'Historical '!E38</f>
        <v>23121.160000000003</v>
      </c>
      <c r="G35" s="31">
        <f>'Historical '!F38</f>
        <v>15786.18</v>
      </c>
      <c r="H35" s="31">
        <f>'Historical '!G38</f>
        <v>15231.080000000002</v>
      </c>
      <c r="I35" s="31">
        <f>'Historical '!H38</f>
        <v>18797.289999999994</v>
      </c>
    </row>
    <row r="36" spans="2:9" x14ac:dyDescent="0.35">
      <c r="B36" s="32" t="s">
        <v>97</v>
      </c>
      <c r="C36" s="36"/>
      <c r="D36" s="33">
        <f>D35/'Historical '!C$46</f>
        <v>0.12236636102149326</v>
      </c>
      <c r="E36" s="33">
        <f>E35/'Historical '!D$46</f>
        <v>0.13093432242646255</v>
      </c>
      <c r="F36" s="33">
        <f>F35/'Historical '!E$46</f>
        <v>8.1014372391911352E-2</v>
      </c>
      <c r="G36" s="33">
        <f>G35/'Historical '!F$46</f>
        <v>5.8616605947843035E-2</v>
      </c>
      <c r="H36" s="33">
        <f>H35/'Historical '!G$46</f>
        <v>5.5293539957985714E-2</v>
      </c>
      <c r="I36" s="33">
        <f>I35/'Historical '!H$46</f>
        <v>6.3394142251737853E-2</v>
      </c>
    </row>
    <row r="37" spans="2:9" ht="6" customHeight="1" x14ac:dyDescent="0.35"/>
    <row r="38" spans="2:9" x14ac:dyDescent="0.35">
      <c r="B38" s="30" t="s">
        <v>591</v>
      </c>
      <c r="C38" s="30"/>
      <c r="D38" s="31">
        <f>'Historical '!C41</f>
        <v>9539.84</v>
      </c>
      <c r="E38" s="31">
        <f>'Historical '!D41</f>
        <v>12246.43</v>
      </c>
      <c r="F38" s="31">
        <f>'Historical '!E41</f>
        <v>8257.24</v>
      </c>
      <c r="G38" s="31">
        <f>'Historical '!F41</f>
        <v>6263.53</v>
      </c>
      <c r="H38" s="31">
        <f>'Historical '!G41</f>
        <v>5260.06</v>
      </c>
      <c r="I38" s="31">
        <f>'Historical '!H41</f>
        <v>4916.8900000000003</v>
      </c>
    </row>
    <row r="39" spans="2:9" x14ac:dyDescent="0.35">
      <c r="B39" s="32" t="s">
        <v>97</v>
      </c>
      <c r="C39" s="36"/>
      <c r="D39" s="33">
        <f>D38/'Historical '!C$46</f>
        <v>3.9112261411716392E-2</v>
      </c>
      <c r="E39" s="33">
        <f>E38/'Historical '!D$46</f>
        <v>4.3362217920459155E-2</v>
      </c>
      <c r="F39" s="33">
        <f>F38/'Historical '!E$46</f>
        <v>2.8932593186906972E-2</v>
      </c>
      <c r="G39" s="33">
        <f>G38/'Historical '!F$46</f>
        <v>2.325748660236316E-2</v>
      </c>
      <c r="H39" s="33">
        <f>H38/'Historical '!G$46</f>
        <v>1.9095647701371295E-2</v>
      </c>
      <c r="I39" s="33">
        <f>I38/'Historical '!H$46</f>
        <v>1.6582285217504621E-2</v>
      </c>
    </row>
    <row r="40" spans="2:9" ht="4.25" customHeight="1" x14ac:dyDescent="0.35"/>
    <row r="41" spans="2:9" x14ac:dyDescent="0.35">
      <c r="B41" s="30" t="s">
        <v>336</v>
      </c>
      <c r="C41" s="30"/>
      <c r="D41" s="31">
        <f>'Historical '!C42</f>
        <v>33276.379999999997</v>
      </c>
      <c r="E41" s="31">
        <f>'Historical '!D42</f>
        <v>48824.39</v>
      </c>
      <c r="F41" s="31">
        <f>'Historical '!E42</f>
        <v>54415.33</v>
      </c>
      <c r="G41" s="31">
        <f>'Historical '!F42</f>
        <v>49157.51</v>
      </c>
      <c r="H41" s="31">
        <f>'Historical '!G42</f>
        <v>44589.94</v>
      </c>
      <c r="I41" s="31">
        <f>'Historical '!H42</f>
        <v>47249.22</v>
      </c>
    </row>
    <row r="42" spans="2:9" x14ac:dyDescent="0.35">
      <c r="B42" s="32" t="s">
        <v>97</v>
      </c>
      <c r="C42" s="36"/>
      <c r="D42" s="33">
        <f>D41/'Historical '!C$46</f>
        <v>0.13642938177114197</v>
      </c>
      <c r="E42" s="33">
        <f>E41/'Historical '!D$46</f>
        <v>0.1728776336461717</v>
      </c>
      <c r="F42" s="33">
        <f>F41/'Historical '!E$46</f>
        <v>0.1906662039641932</v>
      </c>
      <c r="G42" s="33">
        <f>G41/'Historical '!F$46</f>
        <v>0.18252968058435629</v>
      </c>
      <c r="H42" s="33">
        <f>H41/'Historical '!G$46</f>
        <v>0.16187529900139619</v>
      </c>
      <c r="I42" s="33">
        <f>I41/'Historical '!H$46</f>
        <v>0.15934870260360182</v>
      </c>
    </row>
    <row r="43" spans="2:9" ht="5.4" customHeight="1" x14ac:dyDescent="0.35"/>
    <row r="44" spans="2:9" x14ac:dyDescent="0.35">
      <c r="B44" s="30" t="s">
        <v>592</v>
      </c>
      <c r="C44" s="30"/>
      <c r="D44" s="31">
        <f>'Historical '!C43</f>
        <v>5782.18</v>
      </c>
      <c r="E44" s="31">
        <f>'Historical '!D43</f>
        <v>15898.93</v>
      </c>
      <c r="F44" s="31">
        <f>'Historical '!E43</f>
        <v>13357.26</v>
      </c>
      <c r="G44" s="31">
        <f>'Historical '!F43</f>
        <v>8677.7199999999993</v>
      </c>
      <c r="H44" s="31">
        <f>'Historical '!G43</f>
        <v>11646.98</v>
      </c>
      <c r="I44" s="31">
        <f>'Historical '!H43</f>
        <v>10057.530000000001</v>
      </c>
    </row>
    <row r="45" spans="2:9" x14ac:dyDescent="0.35">
      <c r="B45" s="32" t="s">
        <v>97</v>
      </c>
      <c r="C45" s="36"/>
      <c r="D45" s="33">
        <f>D44/'Historical '!C$46</f>
        <v>2.3706281833825126E-2</v>
      </c>
      <c r="E45" s="33">
        <f>E44/'Historical '!D$46</f>
        <v>5.629500739089887E-2</v>
      </c>
      <c r="F45" s="33">
        <f>F44/'Historical '!E$46</f>
        <v>4.6802584116695772E-2</v>
      </c>
      <c r="G45" s="33">
        <f>G44/'Historical '!F$46</f>
        <v>3.2221759397505691E-2</v>
      </c>
      <c r="H45" s="33">
        <f>H44/'Historical '!G$46</f>
        <v>4.228214637569104E-2</v>
      </c>
      <c r="I45" s="33">
        <f>I44/'Historical '!H$46</f>
        <v>3.3919170663490393E-2</v>
      </c>
    </row>
    <row r="46" spans="2:9" ht="3.65" customHeight="1" x14ac:dyDescent="0.35"/>
  </sheetData>
  <mergeCells count="2">
    <mergeCell ref="B1:I2"/>
    <mergeCell ref="B4:I4"/>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62C0FFB4-F0CE-48DC-B12F-60966A69705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Sheet'!D45:I45</xm:f>
              <xm:sqref>K45</xm:sqref>
            </x14:sparkline>
          </x14:sparklines>
        </x14:sparklineGroup>
        <x14:sparklineGroup displayEmptyCellsAs="gap" markers="1" xr2:uid="{92C6D8A6-CDDB-446C-B268-D0EE9EE1913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Sheet'!D42:I42</xm:f>
              <xm:sqref>K42</xm:sqref>
            </x14:sparkline>
          </x14:sparklines>
        </x14:sparklineGroup>
        <x14:sparklineGroup displayEmptyCellsAs="gap" markers="1" xr2:uid="{F6711762-B4C1-410E-9413-2F60E8A3390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Sheet'!D39:I39</xm:f>
              <xm:sqref>K39</xm:sqref>
            </x14:sparkline>
          </x14:sparklines>
        </x14:sparklineGroup>
        <x14:sparklineGroup displayEmptyCellsAs="gap" markers="1" xr2:uid="{205C4FE0-CAA4-4C7E-8649-265120AC4E90}">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Sheet'!D9:I9</xm:f>
              <xm:sqref>K9</xm:sqref>
            </x14:sparkline>
          </x14:sparklines>
        </x14:sparklineGroup>
        <x14:sparklineGroup displayEmptyCellsAs="gap" markers="1" xr2:uid="{9819FF63-754E-4061-9F9B-5283320DAAB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Sheet'!D12:I12</xm:f>
              <xm:sqref>K12</xm:sqref>
            </x14:sparkline>
          </x14:sparklines>
        </x14:sparklineGroup>
        <x14:sparklineGroup displayEmptyCellsAs="gap" markers="1" xr2:uid="{48C8093E-9A17-4903-B103-69C33AFAB489}">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Sheet'!D15:I15</xm:f>
              <xm:sqref>K15</xm:sqref>
            </x14:sparkline>
          </x14:sparklines>
        </x14:sparklineGroup>
        <x14:sparklineGroup displayEmptyCellsAs="gap" markers="1" xr2:uid="{16A62FBC-55A2-4451-A26C-5C55CCACE0A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Sheet'!D18:I18</xm:f>
              <xm:sqref>K18</xm:sqref>
            </x14:sparkline>
          </x14:sparklines>
        </x14:sparklineGroup>
        <x14:sparklineGroup displayEmptyCellsAs="gap" markers="1" xr2:uid="{72CF9649-EE6F-4BE1-9718-209B7342192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Sheet'!D21:I21</xm:f>
              <xm:sqref>K21</xm:sqref>
            </x14:sparkline>
          </x14:sparklines>
        </x14:sparklineGroup>
        <x14:sparklineGroup displayEmptyCellsAs="gap" markers="1" xr2:uid="{EE101F86-89DF-4440-9B0B-F23C972541A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Sheet'!D24:I24</xm:f>
              <xm:sqref>K24</xm:sqref>
            </x14:sparkline>
          </x14:sparklines>
        </x14:sparklineGroup>
        <x14:sparklineGroup displayEmptyCellsAs="gap" markers="1" xr2:uid="{0DE0E169-2623-42AA-B8C6-C4D68A61E47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Sheet'!D27:I27</xm:f>
              <xm:sqref>K27</xm:sqref>
            </x14:sparkline>
          </x14:sparklines>
        </x14:sparklineGroup>
        <x14:sparklineGroup displayEmptyCellsAs="gap" markers="1" xr2:uid="{B92E77F9-5E0C-48FD-BDC7-688C555E152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Sheet'!D30:I30</xm:f>
              <xm:sqref>K30</xm:sqref>
            </x14:sparkline>
          </x14:sparklines>
        </x14:sparklineGroup>
        <x14:sparklineGroup displayEmptyCellsAs="gap" markers="1" xr2:uid="{DA50133F-6EB1-403A-8967-28B934DED22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Sheet'!D33:I33</xm:f>
              <xm:sqref>K33</xm:sqref>
            </x14:sparkline>
          </x14:sparklines>
        </x14:sparklineGroup>
        <x14:sparklineGroup displayEmptyCellsAs="gap" markers="1" xr2:uid="{A15079FE-0414-4C52-A539-B62D02485A55}">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Balance Sheet'!D36:I36</xm:f>
              <xm:sqref>K36</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576A5-28DF-4DE9-B89F-212D497B100B}">
  <dimension ref="B1:K39"/>
  <sheetViews>
    <sheetView showGridLines="0" zoomScale="83" zoomScaleNormal="70" workbookViewId="0">
      <selection sqref="A1:XFD1048576"/>
    </sheetView>
  </sheetViews>
  <sheetFormatPr defaultRowHeight="14.5" x14ac:dyDescent="0.35"/>
  <cols>
    <col min="1" max="1" width="1.90625" style="253" customWidth="1"/>
    <col min="2" max="3" width="17.6328125" style="253" customWidth="1"/>
    <col min="4" max="9" width="12.81640625" style="253" bestFit="1" customWidth="1"/>
    <col min="10" max="10" width="1.08984375" style="253" customWidth="1"/>
    <col min="11" max="11" width="14.81640625" style="253" customWidth="1"/>
    <col min="12" max="16384" width="8.7265625" style="253"/>
  </cols>
  <sheetData>
    <row r="1" spans="2:11" x14ac:dyDescent="0.35">
      <c r="B1" s="238" t="s">
        <v>93</v>
      </c>
      <c r="C1" s="238"/>
      <c r="D1" s="238"/>
      <c r="E1" s="238"/>
      <c r="F1" s="238"/>
      <c r="G1" s="238"/>
      <c r="H1" s="238"/>
      <c r="I1" s="238"/>
    </row>
    <row r="2" spans="2:11" x14ac:dyDescent="0.35">
      <c r="B2" s="238"/>
      <c r="C2" s="238"/>
      <c r="D2" s="238"/>
      <c r="E2" s="238"/>
      <c r="F2" s="238"/>
      <c r="G2" s="238"/>
      <c r="H2" s="238"/>
      <c r="I2" s="238"/>
    </row>
    <row r="3" spans="2:11" ht="9" customHeight="1" x14ac:dyDescent="0.35"/>
    <row r="4" spans="2:11" ht="15.5" x14ac:dyDescent="0.35">
      <c r="B4" s="240" t="s">
        <v>95</v>
      </c>
      <c r="C4" s="240"/>
      <c r="D4" s="240"/>
      <c r="E4" s="240"/>
      <c r="F4" s="240"/>
      <c r="G4" s="240"/>
      <c r="H4" s="240"/>
      <c r="I4" s="240"/>
    </row>
    <row r="5" spans="2:11" x14ac:dyDescent="0.35">
      <c r="B5" s="253" t="s">
        <v>94</v>
      </c>
    </row>
    <row r="6" spans="2:11" x14ac:dyDescent="0.35">
      <c r="B6" s="25" t="s">
        <v>96</v>
      </c>
      <c r="C6" s="25"/>
      <c r="D6" s="26">
        <v>44256</v>
      </c>
      <c r="E6" s="26">
        <f>'Profit &amp; Loss'!G3</f>
        <v>44651</v>
      </c>
      <c r="F6" s="26">
        <f>'Profit &amp; Loss'!H3</f>
        <v>45016</v>
      </c>
      <c r="G6" s="26">
        <f>'Profit &amp; Loss'!I3</f>
        <v>45382</v>
      </c>
      <c r="H6" s="26">
        <f>'Profit &amp; Loss'!J3</f>
        <v>45747</v>
      </c>
      <c r="I6" s="26">
        <f>'Profit &amp; Loss'!K3</f>
        <v>46112</v>
      </c>
      <c r="K6" s="25" t="s">
        <v>99</v>
      </c>
    </row>
    <row r="7" spans="2:11" ht="6" customHeight="1" x14ac:dyDescent="0.35"/>
    <row r="8" spans="2:11" x14ac:dyDescent="0.35">
      <c r="B8" s="30" t="str">
        <f>'Profit &amp; Loss'!A4</f>
        <v>Sales</v>
      </c>
      <c r="C8" s="30"/>
      <c r="D8" s="31">
        <f>'Historical '!C7</f>
        <v>156477.4</v>
      </c>
      <c r="E8" s="31">
        <f>'Historical '!D7</f>
        <v>243959.17</v>
      </c>
      <c r="F8" s="31">
        <f>'Historical '!E7</f>
        <v>243352.69</v>
      </c>
      <c r="G8" s="31">
        <f>'Historical '!F7</f>
        <v>229170.78</v>
      </c>
      <c r="H8" s="31">
        <f>'Historical '!G7</f>
        <v>218542.51</v>
      </c>
      <c r="I8" s="31">
        <f>'Historical '!H7</f>
        <v>232139.94</v>
      </c>
    </row>
    <row r="9" spans="2:11" x14ac:dyDescent="0.35">
      <c r="B9" s="32" t="s">
        <v>97</v>
      </c>
      <c r="C9" s="32"/>
      <c r="D9" s="33">
        <f>D8/D8</f>
        <v>1</v>
      </c>
      <c r="E9" s="33">
        <f t="shared" ref="E9:I9" si="0">E8/E8</f>
        <v>1</v>
      </c>
      <c r="F9" s="33">
        <f t="shared" si="0"/>
        <v>1</v>
      </c>
      <c r="G9" s="33">
        <f t="shared" si="0"/>
        <v>1</v>
      </c>
      <c r="H9" s="33">
        <f t="shared" si="0"/>
        <v>1</v>
      </c>
      <c r="I9" s="33">
        <f t="shared" si="0"/>
        <v>1</v>
      </c>
    </row>
    <row r="10" spans="2:11" ht="6" customHeight="1" x14ac:dyDescent="0.35">
      <c r="B10" s="34"/>
      <c r="C10" s="34"/>
      <c r="D10" s="23"/>
      <c r="E10" s="35"/>
      <c r="F10" s="35"/>
      <c r="G10" s="35"/>
      <c r="H10" s="35"/>
      <c r="I10" s="35"/>
    </row>
    <row r="11" spans="2:11" x14ac:dyDescent="0.35">
      <c r="B11" s="30" t="s">
        <v>585</v>
      </c>
      <c r="C11" s="30"/>
      <c r="D11" s="31">
        <f>'Historical '!C8</f>
        <v>102979.74</v>
      </c>
      <c r="E11" s="31">
        <f>'Historical '!D8</f>
        <v>143605.19</v>
      </c>
      <c r="F11" s="31">
        <f>'Historical '!E8</f>
        <v>178329.36</v>
      </c>
      <c r="G11" s="31">
        <f>'Historical '!F8</f>
        <v>183154.84</v>
      </c>
      <c r="H11" s="31">
        <f>'Historical '!G8</f>
        <v>171714.99000000002</v>
      </c>
      <c r="I11" s="31">
        <f>'Historical '!H8</f>
        <v>171435.78</v>
      </c>
    </row>
    <row r="12" spans="2:11" x14ac:dyDescent="0.35">
      <c r="B12" s="32" t="s">
        <v>97</v>
      </c>
      <c r="C12" s="32"/>
      <c r="D12" s="33">
        <f>D11/D$8</f>
        <v>0.65811254532603436</v>
      </c>
      <c r="E12" s="33">
        <f t="shared" ref="E12:I12" si="1">E11/E$8</f>
        <v>0.58864436208731152</v>
      </c>
      <c r="F12" s="33">
        <f t="shared" si="1"/>
        <v>0.73280209066108937</v>
      </c>
      <c r="G12" s="33">
        <f t="shared" si="1"/>
        <v>0.79920677496494097</v>
      </c>
      <c r="H12" s="33">
        <f t="shared" si="1"/>
        <v>0.78572809473086047</v>
      </c>
      <c r="I12" s="33">
        <f t="shared" si="1"/>
        <v>0.73850187089735608</v>
      </c>
    </row>
    <row r="13" spans="2:11" ht="6" customHeight="1" x14ac:dyDescent="0.35">
      <c r="B13" s="34"/>
      <c r="C13" s="34"/>
      <c r="D13" s="23"/>
      <c r="E13" s="35"/>
      <c r="F13" s="35"/>
      <c r="G13" s="35"/>
      <c r="H13" s="35"/>
      <c r="I13" s="35"/>
    </row>
    <row r="14" spans="2:11" x14ac:dyDescent="0.35">
      <c r="B14" s="30" t="s">
        <v>321</v>
      </c>
      <c r="C14" s="30"/>
      <c r="D14" s="31">
        <f>'Historical '!C9</f>
        <v>53497.659999999989</v>
      </c>
      <c r="E14" s="31">
        <f>'Historical '!D9</f>
        <v>100353.98000000001</v>
      </c>
      <c r="F14" s="31">
        <f>'Historical '!E9</f>
        <v>65023.330000000016</v>
      </c>
      <c r="G14" s="31">
        <f>'Historical '!F9</f>
        <v>46015.94</v>
      </c>
      <c r="H14" s="31">
        <f>'Historical '!G9</f>
        <v>46827.51999999999</v>
      </c>
      <c r="I14" s="31">
        <f>'Historical '!H9</f>
        <v>60704.160000000003</v>
      </c>
    </row>
    <row r="15" spans="2:11" x14ac:dyDescent="0.35">
      <c r="B15" s="32" t="s">
        <v>97</v>
      </c>
      <c r="C15" s="32"/>
      <c r="D15" s="33">
        <f>D14/D$8</f>
        <v>0.34188745467396564</v>
      </c>
      <c r="E15" s="33">
        <f t="shared" ref="E15" si="2">E14/E$8</f>
        <v>0.41135563791268842</v>
      </c>
      <c r="F15" s="33">
        <f t="shared" ref="F15" si="3">F14/F$8</f>
        <v>0.26719790933891058</v>
      </c>
      <c r="G15" s="33">
        <f t="shared" ref="G15" si="4">G14/G$8</f>
        <v>0.20079322503505903</v>
      </c>
      <c r="H15" s="33">
        <f t="shared" ref="H15" si="5">H14/H$8</f>
        <v>0.21427190526913958</v>
      </c>
      <c r="I15" s="33">
        <f t="shared" ref="I15" si="6">I14/I$8</f>
        <v>0.26149812910264386</v>
      </c>
    </row>
    <row r="16" spans="2:11" ht="6" customHeight="1" x14ac:dyDescent="0.35">
      <c r="B16" s="34"/>
      <c r="C16" s="34"/>
      <c r="D16" s="23"/>
      <c r="E16" s="35"/>
      <c r="F16" s="35"/>
      <c r="G16" s="35"/>
      <c r="H16" s="35"/>
      <c r="I16" s="35"/>
    </row>
    <row r="17" spans="2:9" x14ac:dyDescent="0.35">
      <c r="B17" s="340" t="s">
        <v>574</v>
      </c>
      <c r="C17" s="30"/>
      <c r="D17" s="31">
        <f>'Historical '!C10</f>
        <v>22993.4</v>
      </c>
      <c r="E17" s="31">
        <f>'Historical '!D10</f>
        <v>36864.03</v>
      </c>
      <c r="F17" s="31">
        <f>'Historical '!E10</f>
        <v>32723.17</v>
      </c>
      <c r="G17" s="31">
        <f>'Historical '!F10</f>
        <v>23768.02</v>
      </c>
      <c r="H17" s="31">
        <f>'Historical '!G10</f>
        <v>21529.07</v>
      </c>
      <c r="I17" s="31">
        <f>'Historical '!H10</f>
        <v>26351.72</v>
      </c>
    </row>
    <row r="18" spans="2:9" x14ac:dyDescent="0.35">
      <c r="B18" s="32" t="s">
        <v>97</v>
      </c>
      <c r="C18" s="32"/>
      <c r="D18" s="33">
        <f>D17/D$8</f>
        <v>0.14694390372028165</v>
      </c>
      <c r="E18" s="33">
        <f t="shared" ref="E18" si="7">E17/E$8</f>
        <v>0.15110737587769296</v>
      </c>
      <c r="F18" s="33">
        <f t="shared" ref="F18" si="8">F17/F$8</f>
        <v>0.13446808416212699</v>
      </c>
      <c r="G18" s="33">
        <f t="shared" ref="G18" si="9">G17/G$8</f>
        <v>0.10371313480715125</v>
      </c>
      <c r="H18" s="33">
        <f t="shared" ref="H18" si="10">H17/H$8</f>
        <v>9.8512046923960012E-2</v>
      </c>
      <c r="I18" s="33">
        <f t="shared" ref="I18" si="11">I17/I$8</f>
        <v>0.11351652800461653</v>
      </c>
    </row>
    <row r="19" spans="2:9" ht="6" customHeight="1" x14ac:dyDescent="0.35">
      <c r="B19" s="34"/>
      <c r="C19" s="34"/>
      <c r="D19" s="23"/>
      <c r="E19" s="35"/>
      <c r="F19" s="35"/>
      <c r="G19" s="35"/>
      <c r="H19" s="35"/>
      <c r="I19" s="35"/>
    </row>
    <row r="20" spans="2:9" x14ac:dyDescent="0.35">
      <c r="B20" s="30" t="s">
        <v>324</v>
      </c>
      <c r="C20" s="30"/>
      <c r="D20" s="31">
        <f>'Historical '!C11</f>
        <v>30504.259999999987</v>
      </c>
      <c r="E20" s="31">
        <f>'Historical '!D11</f>
        <v>63489.950000000012</v>
      </c>
      <c r="F20" s="31">
        <f>'Historical '!E11</f>
        <v>32300.160000000018</v>
      </c>
      <c r="G20" s="31">
        <f>'Historical '!F11</f>
        <v>22247.920000000002</v>
      </c>
      <c r="H20" s="31">
        <f>'Historical '!G11</f>
        <v>25298.44999999999</v>
      </c>
      <c r="I20" s="31">
        <f>'Historical '!H11</f>
        <v>34352.44</v>
      </c>
    </row>
    <row r="21" spans="2:9" x14ac:dyDescent="0.35">
      <c r="B21" s="32" t="s">
        <v>97</v>
      </c>
      <c r="C21" s="32"/>
      <c r="D21" s="33">
        <f>D20/D$8</f>
        <v>0.19494355095368399</v>
      </c>
      <c r="E21" s="33">
        <f t="shared" ref="E21" si="12">E20/E$8</f>
        <v>0.26024826203499546</v>
      </c>
      <c r="F21" s="33">
        <f t="shared" ref="F21" si="13">F20/F$8</f>
        <v>0.13272982517678361</v>
      </c>
      <c r="G21" s="33">
        <f t="shared" ref="G21" si="14">G20/G$8</f>
        <v>9.708009022790777E-2</v>
      </c>
      <c r="H21" s="33">
        <f t="shared" ref="H21" si="15">H20/H$8</f>
        <v>0.11575985834517957</v>
      </c>
      <c r="I21" s="33">
        <f t="shared" ref="I21" si="16">I20/I$8</f>
        <v>0.14798160109802735</v>
      </c>
    </row>
    <row r="22" spans="2:9" ht="6" customHeight="1" x14ac:dyDescent="0.35">
      <c r="B22" s="34"/>
      <c r="C22" s="34"/>
      <c r="D22" s="23"/>
      <c r="E22" s="35"/>
      <c r="F22" s="35"/>
      <c r="G22" s="35"/>
      <c r="H22" s="35"/>
      <c r="I22" s="35"/>
    </row>
    <row r="23" spans="2:9" x14ac:dyDescent="0.35">
      <c r="B23" s="30" t="s">
        <v>11</v>
      </c>
      <c r="C23" s="30"/>
      <c r="D23" s="31">
        <f>'Historical '!C12</f>
        <v>7606.71</v>
      </c>
      <c r="E23" s="31">
        <f>'Profit &amp; Loss'!G9</f>
        <v>5462.2</v>
      </c>
      <c r="F23" s="31">
        <f>'Profit &amp; Loss'!H9</f>
        <v>6298.7</v>
      </c>
      <c r="G23" s="31">
        <f>'Profit &amp; Loss'!I9</f>
        <v>7507.57</v>
      </c>
      <c r="H23" s="31">
        <f>'Profit &amp; Loss'!J9</f>
        <v>7340.95</v>
      </c>
      <c r="I23" s="31">
        <f>'Profit &amp; Loss'!K9</f>
        <v>7167.06</v>
      </c>
    </row>
    <row r="24" spans="2:9" x14ac:dyDescent="0.35">
      <c r="B24" s="32" t="s">
        <v>97</v>
      </c>
      <c r="C24" s="32"/>
      <c r="D24" s="33">
        <f>D23/D$8</f>
        <v>4.8612195754786314E-2</v>
      </c>
      <c r="E24" s="33">
        <f t="shared" ref="E24" si="17">E23/E$8</f>
        <v>2.2389812196852446E-2</v>
      </c>
      <c r="F24" s="33">
        <f t="shared" ref="F24" si="18">F23/F$8</f>
        <v>2.5883009552925013E-2</v>
      </c>
      <c r="G24" s="33">
        <f t="shared" ref="G24" si="19">G23/G$8</f>
        <v>3.2759717447398834E-2</v>
      </c>
      <c r="H24" s="33">
        <f t="shared" ref="H24" si="20">H23/H$8</f>
        <v>3.3590490014963219E-2</v>
      </c>
      <c r="I24" s="33">
        <f t="shared" ref="I24" si="21">I23/I$8</f>
        <v>3.0873877196659912E-2</v>
      </c>
    </row>
    <row r="25" spans="2:9" ht="6" customHeight="1" x14ac:dyDescent="0.35">
      <c r="B25" s="34"/>
      <c r="C25" s="34"/>
      <c r="D25" s="23"/>
      <c r="E25" s="35"/>
      <c r="F25" s="35"/>
      <c r="G25" s="35"/>
      <c r="H25" s="35"/>
      <c r="I25" s="35"/>
    </row>
    <row r="26" spans="2:9" x14ac:dyDescent="0.35">
      <c r="B26" s="30" t="s">
        <v>10</v>
      </c>
      <c r="C26" s="30"/>
      <c r="D26" s="31">
        <f>'Historical '!C13</f>
        <v>9233.64</v>
      </c>
      <c r="E26" s="31">
        <f>'Historical '!D13</f>
        <v>9100.8700000000008</v>
      </c>
      <c r="F26" s="31">
        <f>'Historical '!E13</f>
        <v>9335.2000000000007</v>
      </c>
      <c r="G26" s="31">
        <f>'Historical '!F13</f>
        <v>9882.16</v>
      </c>
      <c r="H26" s="31">
        <f>'Historical '!G13</f>
        <v>10421.33</v>
      </c>
      <c r="I26" s="31">
        <f>'Historical '!H13</f>
        <v>11954.51</v>
      </c>
    </row>
    <row r="27" spans="2:9" x14ac:dyDescent="0.35">
      <c r="B27" s="32" t="s">
        <v>97</v>
      </c>
      <c r="C27" s="32"/>
      <c r="D27" s="33">
        <f>D26/D$8</f>
        <v>5.9009416056248376E-2</v>
      </c>
      <c r="E27" s="33">
        <f t="shared" ref="E27" si="22">E26/E$8</f>
        <v>3.7304889994501947E-2</v>
      </c>
      <c r="F27" s="33">
        <f t="shared" ref="F27" si="23">F26/F$8</f>
        <v>3.8360784094887142E-2</v>
      </c>
      <c r="G27" s="33">
        <f t="shared" ref="G27" si="24">G26/G$8</f>
        <v>4.3121378737725639E-2</v>
      </c>
      <c r="H27" s="33">
        <f t="shared" ref="H27" si="25">H26/H$8</f>
        <v>4.768559672898421E-2</v>
      </c>
      <c r="I27" s="33">
        <f t="shared" ref="I27" si="26">I26/I$8</f>
        <v>5.1496997888428854E-2</v>
      </c>
    </row>
    <row r="28" spans="2:9" ht="6" customHeight="1" x14ac:dyDescent="0.35">
      <c r="B28" s="34"/>
      <c r="C28" s="34"/>
      <c r="D28" s="23"/>
      <c r="E28" s="35"/>
      <c r="F28" s="35"/>
      <c r="G28" s="35"/>
      <c r="H28" s="35"/>
      <c r="I28" s="35"/>
    </row>
    <row r="29" spans="2:9" x14ac:dyDescent="0.35">
      <c r="B29" s="30" t="s">
        <v>9</v>
      </c>
      <c r="C29" s="30"/>
      <c r="D29" s="31">
        <f>'Historical '!C14</f>
        <v>179.78</v>
      </c>
      <c r="E29" s="31">
        <f>'Historical '!D14</f>
        <v>1299.99</v>
      </c>
      <c r="F29" s="31">
        <f>'Historical '!E14</f>
        <v>1568.86</v>
      </c>
      <c r="G29" s="31">
        <f>'Historical '!F14</f>
        <v>-6005.23</v>
      </c>
      <c r="H29" s="31">
        <f>'Historical '!G14</f>
        <v>876.7</v>
      </c>
      <c r="I29" s="31">
        <f>'Historical '!H14</f>
        <v>737.82</v>
      </c>
    </row>
    <row r="30" spans="2:9" x14ac:dyDescent="0.35">
      <c r="B30" s="32" t="s">
        <v>97</v>
      </c>
      <c r="C30" s="32"/>
      <c r="D30" s="33">
        <f>D29/D$8</f>
        <v>1.1489199079228055E-3</v>
      </c>
      <c r="E30" s="33">
        <f t="shared" ref="E30" si="27">E29/E$8</f>
        <v>5.3287195558174754E-3</v>
      </c>
      <c r="F30" s="33">
        <f t="shared" ref="F30" si="28">F29/F$8</f>
        <v>6.4468570287840249E-3</v>
      </c>
      <c r="G30" s="33">
        <f t="shared" ref="G30" si="29">G29/G$8</f>
        <v>-2.6204169658976591E-2</v>
      </c>
      <c r="H30" s="33">
        <f t="shared" ref="H30" si="30">H29/H$8</f>
        <v>4.0115765120479303E-3</v>
      </c>
      <c r="I30" s="33">
        <f t="shared" ref="I30" si="31">I29/I$8</f>
        <v>3.1783414779895268E-3</v>
      </c>
    </row>
    <row r="31" spans="2:9" ht="6" customHeight="1" x14ac:dyDescent="0.35">
      <c r="B31" s="34"/>
      <c r="C31" s="34"/>
      <c r="D31" s="23"/>
      <c r="E31" s="35"/>
      <c r="F31" s="35"/>
      <c r="G31" s="35"/>
      <c r="H31" s="35"/>
      <c r="I31" s="35"/>
    </row>
    <row r="32" spans="2:9" x14ac:dyDescent="0.35">
      <c r="B32" s="30" t="s">
        <v>575</v>
      </c>
      <c r="C32" s="30"/>
      <c r="D32" s="31">
        <f>'Historical '!C15</f>
        <v>13843.689999999988</v>
      </c>
      <c r="E32" s="31">
        <f>'Historical '!D15</f>
        <v>50226.87000000001</v>
      </c>
      <c r="F32" s="31">
        <f>'Historical '!E15</f>
        <v>18235.120000000017</v>
      </c>
      <c r="G32" s="31">
        <f>'Historical '!F15</f>
        <v>-1147.0399999999972</v>
      </c>
      <c r="H32" s="31">
        <f>'Historical '!G15</f>
        <v>8412.8699999999917</v>
      </c>
      <c r="I32" s="31">
        <f>'Historical '!H15</f>
        <v>15968.690000000002</v>
      </c>
    </row>
    <row r="33" spans="2:9" x14ac:dyDescent="0.35">
      <c r="B33" s="32" t="s">
        <v>97</v>
      </c>
      <c r="C33" s="32"/>
      <c r="D33" s="33">
        <f>D32/D$8</f>
        <v>8.8470859050572087E-2</v>
      </c>
      <c r="E33" s="33">
        <f t="shared" ref="E33" si="32">E32/E$8</f>
        <v>0.20588227939945855</v>
      </c>
      <c r="F33" s="33">
        <f t="shared" ref="F33" si="33">F32/F$8</f>
        <v>7.4932888557755484E-2</v>
      </c>
      <c r="G33" s="33">
        <f t="shared" ref="G33" si="34">G32/G$8</f>
        <v>-5.0051756161932914E-3</v>
      </c>
      <c r="H33" s="33">
        <f t="shared" ref="H33" si="35">H32/H$8</f>
        <v>3.8495348113280072E-2</v>
      </c>
      <c r="I33" s="33">
        <f t="shared" ref="I33" si="36">I32/I$8</f>
        <v>6.8789067490928113E-2</v>
      </c>
    </row>
    <row r="34" spans="2:9" ht="6" customHeight="1" x14ac:dyDescent="0.35">
      <c r="B34" s="27"/>
      <c r="C34" s="27"/>
      <c r="D34" s="28"/>
      <c r="E34" s="29"/>
      <c r="F34" s="29"/>
      <c r="G34" s="29"/>
      <c r="H34" s="29"/>
      <c r="I34" s="29"/>
    </row>
    <row r="35" spans="2:9" x14ac:dyDescent="0.35">
      <c r="B35" s="30" t="s">
        <v>13</v>
      </c>
      <c r="C35" s="30"/>
      <c r="D35" s="31">
        <f>'Historical '!C16</f>
        <v>5653.9</v>
      </c>
      <c r="E35" s="31">
        <f>'Historical '!D16</f>
        <v>8477.5499999999993</v>
      </c>
      <c r="F35" s="31">
        <f>'Historical '!E16</f>
        <v>10159.77</v>
      </c>
      <c r="G35" s="31">
        <f>'Historical '!F16</f>
        <v>3762.57</v>
      </c>
      <c r="H35" s="31">
        <f>'Historical '!G16</f>
        <v>5239.09</v>
      </c>
      <c r="I35" s="31">
        <f>'Historical '!H16</f>
        <v>5082.87</v>
      </c>
    </row>
    <row r="36" spans="2:9" x14ac:dyDescent="0.35">
      <c r="B36" s="32" t="s">
        <v>97</v>
      </c>
      <c r="C36" s="32"/>
      <c r="D36" s="33">
        <f>D35/D$8</f>
        <v>3.6132374387611244E-2</v>
      </c>
      <c r="E36" s="33">
        <f t="shared" ref="E36" si="37">E35/E$8</f>
        <v>3.4749872283956366E-2</v>
      </c>
      <c r="F36" s="33">
        <f t="shared" ref="F36" si="38">F35/F$8</f>
        <v>4.1749158392290632E-2</v>
      </c>
      <c r="G36" s="33">
        <f t="shared" ref="G36" si="39">G35/G$8</f>
        <v>1.6418192581096072E-2</v>
      </c>
      <c r="H36" s="33">
        <f t="shared" ref="H36" si="40">H35/H$8</f>
        <v>2.3972864592797072E-2</v>
      </c>
      <c r="I36" s="33">
        <f t="shared" ref="I36" si="41">I35/I$8</f>
        <v>2.1895715144925082E-2</v>
      </c>
    </row>
    <row r="37" spans="2:9" ht="8.4" customHeight="1" x14ac:dyDescent="0.35"/>
    <row r="38" spans="2:9" x14ac:dyDescent="0.35">
      <c r="B38" s="30" t="s">
        <v>576</v>
      </c>
      <c r="C38" s="30"/>
      <c r="D38" s="31">
        <f>'Historical '!C17</f>
        <v>8189.7899999999881</v>
      </c>
      <c r="E38" s="31">
        <f>'Historical '!D17</f>
        <v>41749.320000000007</v>
      </c>
      <c r="F38" s="31">
        <f>'Historical '!E17</f>
        <v>8075.3500000000167</v>
      </c>
      <c r="G38" s="31">
        <f>'Historical '!F17</f>
        <v>-4909.6099999999969</v>
      </c>
      <c r="H38" s="31">
        <f>'Historical '!G17</f>
        <v>3173.7799999999916</v>
      </c>
      <c r="I38" s="31">
        <f>'Historical '!H17</f>
        <v>10885.820000000003</v>
      </c>
    </row>
    <row r="39" spans="2:9" x14ac:dyDescent="0.35">
      <c r="B39" s="32" t="s">
        <v>97</v>
      </c>
      <c r="C39" s="32"/>
      <c r="D39" s="33">
        <f>D38/D$8</f>
        <v>5.2338484662960837E-2</v>
      </c>
      <c r="E39" s="33">
        <f t="shared" ref="E39" si="42">E38/E$8</f>
        <v>0.17113240711550218</v>
      </c>
      <c r="F39" s="33">
        <f t="shared" ref="F39" si="43">F38/F$8</f>
        <v>3.3183730165464852E-2</v>
      </c>
      <c r="G39" s="33">
        <f t="shared" ref="G39" si="44">G38/G$8</f>
        <v>-2.1423368197289364E-2</v>
      </c>
      <c r="H39" s="33">
        <f t="shared" ref="H39" si="45">H38/H$8</f>
        <v>1.4522483520483001E-2</v>
      </c>
      <c r="I39" s="33">
        <f t="shared" ref="I39" si="46">I38/I$8</f>
        <v>4.6893352346003031E-2</v>
      </c>
    </row>
  </sheetData>
  <mergeCells count="2">
    <mergeCell ref="B1:I2"/>
    <mergeCell ref="B4:I4"/>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77CCAA19-868C-494E-A91F-990EC30BE15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Statement'!E39:I39</xm:f>
              <xm:sqref>K39</xm:sqref>
            </x14:sparkline>
          </x14:sparklines>
        </x14:sparklineGroup>
        <x14:sparklineGroup displayEmptyCellsAs="gap" markers="1" xr2:uid="{13D4DF59-4953-4D4A-9124-472B83D4803E}">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Statement'!E36:I36</xm:f>
              <xm:sqref>K36</xm:sqref>
            </x14:sparkline>
          </x14:sparklines>
        </x14:sparklineGroup>
        <x14:sparklineGroup displayEmptyCellsAs="gap" markers="1" xr2:uid="{3B17F76A-3010-4E7C-821D-BF415370C729}">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Statement'!E33:I33</xm:f>
              <xm:sqref>K33</xm:sqref>
            </x14:sparkline>
          </x14:sparklines>
        </x14:sparklineGroup>
        <x14:sparklineGroup displayEmptyCellsAs="gap" markers="1" xr2:uid="{B054B09C-9C43-4827-BDB6-0F8C5AA7C08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Statement'!E30:I30</xm:f>
              <xm:sqref>K30</xm:sqref>
            </x14:sparkline>
          </x14:sparklines>
        </x14:sparklineGroup>
        <x14:sparklineGroup displayEmptyCellsAs="gap" markers="1" xr2:uid="{0AC064F9-C408-4742-B32D-7DEB81C5C203}">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Statement'!E27:I27</xm:f>
              <xm:sqref>K27</xm:sqref>
            </x14:sparkline>
          </x14:sparklines>
        </x14:sparklineGroup>
        <x14:sparklineGroup displayEmptyCellsAs="gap" markers="1" xr2:uid="{12B3384E-740A-40FF-836A-C52882F7DB47}">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Statement'!E24:I24</xm:f>
              <xm:sqref>K24</xm:sqref>
            </x14:sparkline>
          </x14:sparklines>
        </x14:sparklineGroup>
        <x14:sparklineGroup displayEmptyCellsAs="gap" markers="1" xr2:uid="{EABF4432-F62B-449E-B878-ED8B0F9067FB}">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Statement'!E21:I21</xm:f>
              <xm:sqref>K21</xm:sqref>
            </x14:sparkline>
          </x14:sparklines>
        </x14:sparklineGroup>
        <x14:sparklineGroup displayEmptyCellsAs="gap" markers="1" xr2:uid="{C2B2AEF1-0352-4C9A-90E3-D34467938B88}">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Statement'!E18:I18</xm:f>
              <xm:sqref>K18</xm:sqref>
            </x14:sparkline>
          </x14:sparklines>
        </x14:sparklineGroup>
        <x14:sparklineGroup displayEmptyCellsAs="gap" markers="1" xr2:uid="{EE5C19B3-63D3-472E-8A5C-450520A01F2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Statement'!E15:I15</xm:f>
              <xm:sqref>K15</xm:sqref>
            </x14:sparkline>
          </x14:sparklines>
        </x14:sparklineGroup>
        <x14:sparklineGroup displayEmptyCellsAs="gap" markers="1" xr2:uid="{B53FC786-CA1A-4E9F-8093-0F0141BE0C24}">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Statement'!E12:I12</xm:f>
              <xm:sqref>K12</xm:sqref>
            </x14:sparkline>
          </x14:sparklines>
        </x14:sparklineGroup>
        <x14:sparklineGroup displayEmptyCellsAs="gap" markers="1" xr2:uid="{B414862E-2C51-4D8E-8070-BB91C9732D48}">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'Common Income Statement'!E9:I9</xm:f>
              <xm:sqref>K9</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3A82-3C2A-40B8-BED7-4F42AADEF244}">
  <sheetPr codeName="Sheet6">
    <pageSetUpPr fitToPage="1"/>
  </sheetPr>
  <dimension ref="A1:J80"/>
  <sheetViews>
    <sheetView showGridLines="0" zoomScale="105" workbookViewId="0">
      <selection activeCell="E64" sqref="E64"/>
    </sheetView>
  </sheetViews>
  <sheetFormatPr defaultRowHeight="14.5" x14ac:dyDescent="0.35"/>
  <cols>
    <col min="1" max="1" width="1.90625" style="253" customWidth="1"/>
    <col min="2" max="2" width="27.54296875" style="253" bestFit="1" customWidth="1"/>
    <col min="3" max="4" width="8.7265625" style="253"/>
    <col min="5" max="8" width="13.36328125" style="333" bestFit="1" customWidth="1"/>
    <col min="9" max="10" width="8.36328125" style="336" bestFit="1" customWidth="1"/>
    <col min="11" max="16384" width="8.7265625" style="336"/>
  </cols>
  <sheetData>
    <row r="1" spans="1:8" customFormat="1" x14ac:dyDescent="0.35">
      <c r="A1" s="253"/>
      <c r="B1" s="305" t="s">
        <v>100</v>
      </c>
      <c r="C1" s="305"/>
      <c r="D1" s="305"/>
      <c r="E1" s="305"/>
      <c r="F1" s="305"/>
      <c r="G1" s="305"/>
      <c r="H1" s="305"/>
    </row>
    <row r="2" spans="1:8" customFormat="1" x14ac:dyDescent="0.35">
      <c r="A2" s="253"/>
      <c r="B2" s="305"/>
      <c r="C2" s="305"/>
      <c r="D2" s="305"/>
      <c r="E2" s="305"/>
      <c r="F2" s="305"/>
      <c r="G2" s="305"/>
      <c r="H2" s="305"/>
    </row>
    <row r="3" spans="1:8" customFormat="1" ht="5.4" customHeight="1" x14ac:dyDescent="0.35">
      <c r="A3" s="253"/>
      <c r="B3" s="253"/>
      <c r="C3" s="253"/>
      <c r="D3" s="253"/>
      <c r="E3" s="253"/>
      <c r="F3" s="253"/>
      <c r="G3" s="253"/>
      <c r="H3" s="253"/>
    </row>
    <row r="4" spans="1:8" customFormat="1" x14ac:dyDescent="0.35">
      <c r="A4" s="253"/>
      <c r="B4" s="2" t="s">
        <v>101</v>
      </c>
      <c r="C4" s="253"/>
      <c r="D4" s="253"/>
      <c r="E4" s="253"/>
      <c r="F4" s="253"/>
      <c r="G4" s="253"/>
      <c r="H4" s="253"/>
    </row>
    <row r="5" spans="1:8" customFormat="1" x14ac:dyDescent="0.35">
      <c r="A5" s="253"/>
      <c r="B5" s="253"/>
      <c r="C5" s="253"/>
      <c r="D5" s="253"/>
      <c r="E5" s="253"/>
      <c r="F5" s="253"/>
      <c r="G5" s="253"/>
      <c r="H5" s="253"/>
    </row>
    <row r="6" spans="1:8" customFormat="1" x14ac:dyDescent="0.35">
      <c r="A6" s="253"/>
      <c r="B6" s="253"/>
      <c r="C6" s="253"/>
      <c r="D6" s="253"/>
      <c r="E6" s="253"/>
      <c r="F6" s="253"/>
      <c r="G6" s="253"/>
      <c r="H6" s="253"/>
    </row>
    <row r="7" spans="1:8" customFormat="1" x14ac:dyDescent="0.35">
      <c r="A7" s="253"/>
      <c r="B7" s="253"/>
      <c r="C7" s="253"/>
      <c r="D7" s="253"/>
      <c r="E7" s="253"/>
      <c r="F7" s="253"/>
      <c r="G7" s="253"/>
      <c r="H7" s="253"/>
    </row>
    <row r="8" spans="1:8" customFormat="1" x14ac:dyDescent="0.35">
      <c r="A8" s="253"/>
      <c r="B8" s="253"/>
      <c r="C8" s="253"/>
      <c r="D8" s="253"/>
      <c r="E8" s="253"/>
      <c r="F8" s="253"/>
      <c r="G8" s="253"/>
      <c r="H8" s="253"/>
    </row>
    <row r="9" spans="1:8" customFormat="1" x14ac:dyDescent="0.35">
      <c r="A9" s="253"/>
      <c r="B9" s="253"/>
      <c r="C9" s="253"/>
      <c r="D9" s="253"/>
      <c r="E9" s="253"/>
      <c r="F9" s="253"/>
      <c r="G9" s="253"/>
      <c r="H9" s="253"/>
    </row>
    <row r="10" spans="1:8" customFormat="1" x14ac:dyDescent="0.35">
      <c r="A10" s="253"/>
      <c r="B10" s="253"/>
      <c r="C10" s="253"/>
      <c r="D10" s="253"/>
      <c r="E10" s="253"/>
      <c r="F10" s="253"/>
      <c r="G10" s="253"/>
      <c r="H10" s="253"/>
    </row>
    <row r="11" spans="1:8" customFormat="1" x14ac:dyDescent="0.35">
      <c r="A11" s="253"/>
      <c r="B11" s="253"/>
      <c r="C11" s="253"/>
      <c r="D11" s="253"/>
      <c r="E11" s="253"/>
      <c r="F11" s="253"/>
      <c r="G11" s="253"/>
      <c r="H11" s="253"/>
    </row>
    <row r="12" spans="1:8" customFormat="1" x14ac:dyDescent="0.35">
      <c r="A12" s="253"/>
      <c r="B12" s="253"/>
      <c r="C12" s="253"/>
      <c r="D12" s="253"/>
      <c r="E12" s="253"/>
      <c r="F12" s="253"/>
      <c r="G12" s="253"/>
      <c r="H12" s="253"/>
    </row>
    <row r="13" spans="1:8" customFormat="1" x14ac:dyDescent="0.35">
      <c r="A13" s="253"/>
      <c r="B13" s="253"/>
      <c r="C13" s="253"/>
      <c r="D13" s="253"/>
      <c r="E13" s="253"/>
      <c r="F13" s="253"/>
      <c r="G13" s="253"/>
      <c r="H13" s="253"/>
    </row>
    <row r="14" spans="1:8" customFormat="1" x14ac:dyDescent="0.35">
      <c r="A14" s="253"/>
      <c r="B14" s="253"/>
      <c r="C14" s="253"/>
      <c r="D14" s="253"/>
      <c r="E14" s="253"/>
      <c r="F14" s="253"/>
      <c r="G14" s="253"/>
      <c r="H14" s="253"/>
    </row>
    <row r="15" spans="1:8" customFormat="1" x14ac:dyDescent="0.35">
      <c r="A15" s="253"/>
      <c r="B15" s="253"/>
      <c r="C15" s="253"/>
      <c r="D15" s="253"/>
      <c r="E15" s="253"/>
      <c r="F15" s="253"/>
      <c r="G15" s="253"/>
      <c r="H15" s="253"/>
    </row>
    <row r="16" spans="1:8" customFormat="1" x14ac:dyDescent="0.35">
      <c r="A16" s="253"/>
      <c r="B16" s="253"/>
      <c r="C16" s="253"/>
      <c r="D16" s="253"/>
      <c r="E16" s="253"/>
      <c r="F16" s="253"/>
      <c r="G16" s="253"/>
      <c r="H16" s="253"/>
    </row>
    <row r="17" spans="1:8" customFormat="1" x14ac:dyDescent="0.35">
      <c r="A17" s="253"/>
      <c r="B17" s="253"/>
      <c r="C17" s="253"/>
      <c r="D17" s="253"/>
      <c r="E17" s="253"/>
      <c r="F17" s="253"/>
      <c r="G17" s="253"/>
      <c r="H17" s="253"/>
    </row>
    <row r="18" spans="1:8" customFormat="1" x14ac:dyDescent="0.35">
      <c r="A18" s="253"/>
      <c r="B18" s="253"/>
      <c r="C18" s="253"/>
      <c r="D18" s="253"/>
      <c r="E18" s="253"/>
      <c r="F18" s="253"/>
      <c r="G18" s="253"/>
      <c r="H18" s="253"/>
    </row>
    <row r="19" spans="1:8" customFormat="1" x14ac:dyDescent="0.35">
      <c r="A19" s="253"/>
      <c r="B19" s="253"/>
      <c r="C19" s="253"/>
      <c r="D19" s="253"/>
      <c r="E19" s="253"/>
      <c r="F19" s="253"/>
      <c r="G19" s="253"/>
      <c r="H19" s="253"/>
    </row>
    <row r="20" spans="1:8" customFormat="1" x14ac:dyDescent="0.35">
      <c r="A20" s="253"/>
      <c r="B20" s="253"/>
      <c r="C20" s="253"/>
      <c r="D20" s="253"/>
      <c r="E20" s="253"/>
      <c r="F20" s="253"/>
      <c r="G20" s="253"/>
      <c r="H20" s="253"/>
    </row>
    <row r="21" spans="1:8" customFormat="1" x14ac:dyDescent="0.35">
      <c r="A21" s="253"/>
      <c r="B21" s="253"/>
      <c r="C21" s="253"/>
      <c r="D21" s="253"/>
      <c r="E21" s="253"/>
      <c r="F21" s="253"/>
      <c r="G21" s="253"/>
      <c r="H21" s="253"/>
    </row>
    <row r="22" spans="1:8" customFormat="1" x14ac:dyDescent="0.35">
      <c r="A22" s="253"/>
      <c r="B22" s="253"/>
      <c r="C22" s="253"/>
      <c r="D22" s="253"/>
      <c r="E22" s="253"/>
      <c r="F22" s="253"/>
      <c r="G22" s="253"/>
      <c r="H22" s="253"/>
    </row>
    <row r="23" spans="1:8" customFormat="1" x14ac:dyDescent="0.35">
      <c r="A23" s="253"/>
      <c r="B23" s="253"/>
      <c r="C23" s="253"/>
      <c r="D23" s="253"/>
      <c r="E23" s="253"/>
      <c r="F23" s="253"/>
      <c r="G23" s="253"/>
      <c r="H23" s="253"/>
    </row>
    <row r="24" spans="1:8" customFormat="1" x14ac:dyDescent="0.35">
      <c r="A24" s="253"/>
      <c r="B24" s="253"/>
      <c r="C24" s="253"/>
      <c r="D24" s="253"/>
      <c r="E24" s="253"/>
      <c r="F24" s="253"/>
      <c r="G24" s="253"/>
      <c r="H24" s="253"/>
    </row>
    <row r="25" spans="1:8" customFormat="1" x14ac:dyDescent="0.35">
      <c r="A25" s="253"/>
      <c r="B25" s="253"/>
      <c r="C25" s="253"/>
      <c r="D25" s="253"/>
      <c r="E25" s="253"/>
      <c r="F25" s="253"/>
      <c r="G25" s="253"/>
      <c r="H25" s="253"/>
    </row>
    <row r="26" spans="1:8" customFormat="1" x14ac:dyDescent="0.35">
      <c r="A26" s="253"/>
      <c r="B26" s="253"/>
      <c r="C26" s="253"/>
      <c r="D26" s="253"/>
      <c r="E26" s="253"/>
      <c r="F26" s="253"/>
      <c r="G26" s="253"/>
      <c r="H26" s="253"/>
    </row>
    <row r="27" spans="1:8" customFormat="1" x14ac:dyDescent="0.35">
      <c r="A27" s="253"/>
      <c r="B27" s="253"/>
      <c r="C27" s="253"/>
      <c r="D27" s="253"/>
      <c r="E27" s="253"/>
      <c r="F27" s="253"/>
      <c r="G27" s="253"/>
      <c r="H27" s="253"/>
    </row>
    <row r="28" spans="1:8" customFormat="1" x14ac:dyDescent="0.35">
      <c r="A28" s="253"/>
      <c r="B28" s="253"/>
      <c r="C28" s="253"/>
      <c r="D28" s="253"/>
      <c r="E28" s="253"/>
      <c r="F28" s="253"/>
      <c r="G28" s="253"/>
      <c r="H28" s="253"/>
    </row>
    <row r="29" spans="1:8" customFormat="1" ht="18.5" x14ac:dyDescent="0.35">
      <c r="A29" s="253"/>
      <c r="B29" s="327" t="s">
        <v>102</v>
      </c>
      <c r="C29" s="327"/>
      <c r="D29" s="327"/>
      <c r="E29" s="327"/>
      <c r="F29" s="327"/>
      <c r="G29" s="327"/>
      <c r="H29" s="327"/>
    </row>
    <row r="30" spans="1:8" customFormat="1" x14ac:dyDescent="0.35">
      <c r="A30" s="253"/>
      <c r="B30" s="253"/>
      <c r="C30" s="253"/>
      <c r="D30" s="253"/>
      <c r="E30" s="39">
        <f>'[1]Reinvestment rate'!F34</f>
        <v>44986</v>
      </c>
      <c r="F30" s="39">
        <f>'[1]Reinvestment rate'!G34</f>
        <v>45352</v>
      </c>
      <c r="G30" s="39">
        <f>'[1]Reinvestment rate'!H34</f>
        <v>45717</v>
      </c>
      <c r="H30" s="39">
        <f>'[1]Reinvestment rate'!I34</f>
        <v>46082</v>
      </c>
    </row>
    <row r="31" spans="1:8" customFormat="1" x14ac:dyDescent="0.35">
      <c r="A31" s="253"/>
      <c r="B31" s="328" t="s">
        <v>30</v>
      </c>
      <c r="C31" s="328"/>
      <c r="D31" s="328"/>
      <c r="E31" s="329">
        <f>'Historical '!E60</f>
        <v>-3706</v>
      </c>
      <c r="F31" s="329">
        <f>'Historical '!F60</f>
        <v>3384</v>
      </c>
      <c r="G31" s="329">
        <f>'Historical '!G60</f>
        <v>2207</v>
      </c>
      <c r="H31" s="329">
        <f>'Historical '!H60</f>
        <v>5442</v>
      </c>
    </row>
    <row r="32" spans="1:8" customFormat="1" x14ac:dyDescent="0.35">
      <c r="A32" s="253"/>
      <c r="B32" s="328" t="s">
        <v>103</v>
      </c>
      <c r="C32" s="328"/>
      <c r="D32" s="328"/>
      <c r="E32" s="329">
        <f>'Historical '!E46</f>
        <v>285395.77999999997</v>
      </c>
      <c r="F32" s="329">
        <f>'Historical '!F46</f>
        <v>269312.42</v>
      </c>
      <c r="G32" s="329">
        <f>'Historical '!G46</f>
        <v>275458.57999999996</v>
      </c>
      <c r="H32" s="329">
        <f>'Historical '!H46</f>
        <v>296514.62</v>
      </c>
    </row>
    <row r="33" spans="1:8" customFormat="1" ht="15" thickBot="1" x14ac:dyDescent="0.4">
      <c r="A33" s="253"/>
      <c r="B33" s="41" t="s">
        <v>104</v>
      </c>
      <c r="C33" s="41"/>
      <c r="D33" s="41"/>
      <c r="E33" s="42">
        <f t="shared" ref="E33:H33" si="0">E31/E32</f>
        <v>-1.2985475818878612E-2</v>
      </c>
      <c r="F33" s="42">
        <f t="shared" si="0"/>
        <v>1.2565332115020911E-2</v>
      </c>
      <c r="G33" s="42">
        <f t="shared" si="0"/>
        <v>8.0120938690673577E-3</v>
      </c>
      <c r="H33" s="42">
        <f t="shared" si="0"/>
        <v>1.8353226562656505E-2</v>
      </c>
    </row>
    <row r="34" spans="1:8" customFormat="1" ht="15" thickTop="1" x14ac:dyDescent="0.35">
      <c r="A34" s="253"/>
      <c r="B34" s="253"/>
      <c r="C34" s="253"/>
      <c r="D34" s="253"/>
      <c r="E34" s="253"/>
      <c r="F34" s="253"/>
      <c r="G34" s="253"/>
      <c r="H34" s="253"/>
    </row>
    <row r="35" spans="1:8" customFormat="1" ht="18.5" x14ac:dyDescent="0.35">
      <c r="A35" s="253"/>
      <c r="B35" s="327" t="s">
        <v>105</v>
      </c>
      <c r="C35" s="327"/>
      <c r="D35" s="327"/>
      <c r="E35" s="327"/>
      <c r="F35" s="327"/>
      <c r="G35" s="327"/>
      <c r="H35" s="327"/>
    </row>
    <row r="36" spans="1:8" customFormat="1" x14ac:dyDescent="0.35">
      <c r="A36" s="253"/>
      <c r="B36" s="253"/>
      <c r="C36" s="253"/>
      <c r="D36" s="253"/>
      <c r="E36" s="39">
        <f t="shared" ref="E36:H36" si="1">E30</f>
        <v>44986</v>
      </c>
      <c r="F36" s="39">
        <f t="shared" si="1"/>
        <v>45352</v>
      </c>
      <c r="G36" s="39">
        <f t="shared" si="1"/>
        <v>45717</v>
      </c>
      <c r="H36" s="39">
        <f t="shared" si="1"/>
        <v>46082</v>
      </c>
    </row>
    <row r="37" spans="1:8" customFormat="1" x14ac:dyDescent="0.35">
      <c r="A37" s="253"/>
      <c r="B37" s="328" t="s">
        <v>106</v>
      </c>
      <c r="C37" s="328"/>
      <c r="D37" s="328"/>
      <c r="E37" s="330">
        <f>'Historical '!E28</f>
        <v>101860.86</v>
      </c>
      <c r="F37" s="330">
        <f>'Historical '!F28</f>
        <v>90788.32</v>
      </c>
      <c r="G37" s="330">
        <f>'Historical '!G28</f>
        <v>89922.19</v>
      </c>
      <c r="H37" s="330">
        <f>'Historical '!H28</f>
        <v>100920.21</v>
      </c>
    </row>
    <row r="38" spans="1:8" customFormat="1" x14ac:dyDescent="0.35">
      <c r="A38" s="253"/>
      <c r="B38" s="328" t="str">
        <f>B32</f>
        <v>Total Assets</v>
      </c>
      <c r="C38" s="328"/>
      <c r="D38" s="328"/>
      <c r="E38" s="330">
        <f t="shared" ref="E38:H38" si="2">E32</f>
        <v>285395.77999999997</v>
      </c>
      <c r="F38" s="330">
        <f t="shared" si="2"/>
        <v>269312.42</v>
      </c>
      <c r="G38" s="330">
        <f t="shared" si="2"/>
        <v>275458.57999999996</v>
      </c>
      <c r="H38" s="330">
        <f t="shared" si="2"/>
        <v>296514.62</v>
      </c>
    </row>
    <row r="39" spans="1:8" customFormat="1" ht="15" thickBot="1" x14ac:dyDescent="0.4">
      <c r="A39" s="253"/>
      <c r="B39" s="41" t="s">
        <v>107</v>
      </c>
      <c r="C39" s="41"/>
      <c r="D39" s="41"/>
      <c r="E39" s="42">
        <f t="shared" ref="E39:H39" si="3">E37/E38</f>
        <v>0.3569108835456502</v>
      </c>
      <c r="F39" s="42">
        <f t="shared" si="3"/>
        <v>0.3371115227437339</v>
      </c>
      <c r="G39" s="42">
        <f t="shared" si="3"/>
        <v>0.32644541331767563</v>
      </c>
      <c r="H39" s="42">
        <f t="shared" si="3"/>
        <v>0.3403549207792857</v>
      </c>
    </row>
    <row r="40" spans="1:8" customFormat="1" ht="15" thickTop="1" x14ac:dyDescent="0.35">
      <c r="A40" s="253"/>
      <c r="B40" s="43"/>
      <c r="C40" s="43"/>
      <c r="D40" s="43"/>
      <c r="E40" s="44"/>
      <c r="F40" s="44"/>
      <c r="G40" s="44"/>
      <c r="H40" s="44"/>
    </row>
    <row r="41" spans="1:8" customFormat="1" ht="18.5" x14ac:dyDescent="0.35">
      <c r="A41" s="253"/>
      <c r="B41" s="327" t="s">
        <v>108</v>
      </c>
      <c r="C41" s="327"/>
      <c r="D41" s="327"/>
      <c r="E41" s="327"/>
      <c r="F41" s="327"/>
      <c r="G41" s="327"/>
      <c r="H41" s="327"/>
    </row>
    <row r="42" spans="1:8" customFormat="1" x14ac:dyDescent="0.35">
      <c r="A42" s="253"/>
      <c r="B42" s="253"/>
      <c r="C42" s="253"/>
      <c r="D42" s="253"/>
      <c r="E42" s="39">
        <v>44986</v>
      </c>
      <c r="F42" s="39">
        <v>45352</v>
      </c>
      <c r="G42" s="39">
        <v>45717</v>
      </c>
      <c r="H42" s="39">
        <v>46082</v>
      </c>
    </row>
    <row r="43" spans="1:8" customFormat="1" x14ac:dyDescent="0.35">
      <c r="A43" s="253"/>
      <c r="B43" s="328" t="s">
        <v>109</v>
      </c>
      <c r="C43" s="328"/>
      <c r="D43" s="328"/>
      <c r="E43" s="330">
        <f>'Historical '!C15+'Historical '!C12</f>
        <v>21450.399999999987</v>
      </c>
      <c r="F43" s="330">
        <f>'Historical '!D15+'Historical '!D12</f>
        <v>55689.070000000007</v>
      </c>
      <c r="G43" s="330">
        <f>'Historical '!E15+'Historical '!E12</f>
        <v>24533.820000000018</v>
      </c>
      <c r="H43" s="330">
        <f>'Historical '!F15+'Historical '!F12</f>
        <v>6360.5300000000025</v>
      </c>
    </row>
    <row r="44" spans="1:8" customFormat="1" x14ac:dyDescent="0.35">
      <c r="A44" s="253"/>
      <c r="B44" s="328" t="str">
        <f>B38</f>
        <v>Total Assets</v>
      </c>
      <c r="C44" s="328"/>
      <c r="D44" s="328"/>
      <c r="E44" s="330">
        <f t="shared" ref="E44:H44" si="4">E38</f>
        <v>285395.77999999997</v>
      </c>
      <c r="F44" s="330">
        <f t="shared" si="4"/>
        <v>269312.42</v>
      </c>
      <c r="G44" s="330">
        <f t="shared" si="4"/>
        <v>275458.57999999996</v>
      </c>
      <c r="H44" s="330">
        <f t="shared" si="4"/>
        <v>296514.62</v>
      </c>
    </row>
    <row r="45" spans="1:8" customFormat="1" ht="15" thickBot="1" x14ac:dyDescent="0.4">
      <c r="A45" s="253"/>
      <c r="B45" s="41" t="s">
        <v>110</v>
      </c>
      <c r="C45" s="331"/>
      <c r="D45" s="331"/>
      <c r="E45" s="42">
        <f t="shared" ref="E45:H45" si="5">E43/E44</f>
        <v>7.5160186320904918E-2</v>
      </c>
      <c r="F45" s="42">
        <f t="shared" si="5"/>
        <v>0.20678240535657438</v>
      </c>
      <c r="G45" s="42">
        <f t="shared" si="5"/>
        <v>8.9065368738922637E-2</v>
      </c>
      <c r="H45" s="42">
        <f t="shared" si="5"/>
        <v>2.1450982754239917E-2</v>
      </c>
    </row>
    <row r="46" spans="1:8" customFormat="1" ht="15" thickTop="1" x14ac:dyDescent="0.35">
      <c r="A46" s="253"/>
      <c r="B46" s="43"/>
      <c r="C46" s="332"/>
      <c r="D46" s="332"/>
      <c r="E46" s="44"/>
      <c r="F46" s="44"/>
      <c r="G46" s="44"/>
      <c r="H46" s="44"/>
    </row>
    <row r="47" spans="1:8" customFormat="1" ht="18.5" x14ac:dyDescent="0.35">
      <c r="A47" s="253"/>
      <c r="B47" s="327" t="s">
        <v>111</v>
      </c>
      <c r="C47" s="327"/>
      <c r="D47" s="327"/>
      <c r="E47" s="327"/>
      <c r="F47" s="327"/>
      <c r="G47" s="327"/>
      <c r="H47" s="327"/>
    </row>
    <row r="48" spans="1:8" customFormat="1" x14ac:dyDescent="0.35">
      <c r="A48" s="253"/>
      <c r="B48" s="253"/>
      <c r="C48" s="253"/>
      <c r="D48" s="253"/>
      <c r="E48" s="39">
        <v>44986</v>
      </c>
      <c r="F48" s="39">
        <v>45352</v>
      </c>
      <c r="G48" s="39">
        <v>45717</v>
      </c>
      <c r="H48" s="39">
        <v>46082</v>
      </c>
    </row>
    <row r="49" spans="1:8" customFormat="1" x14ac:dyDescent="0.35">
      <c r="A49" s="253"/>
      <c r="B49" s="328" t="s">
        <v>112</v>
      </c>
      <c r="C49" s="328"/>
      <c r="D49" s="328"/>
      <c r="E49" s="330">
        <v>173200</v>
      </c>
      <c r="F49" s="330">
        <v>174000</v>
      </c>
      <c r="G49" s="330">
        <v>210700</v>
      </c>
      <c r="H49" s="330">
        <v>233842</v>
      </c>
    </row>
    <row r="50" spans="1:8" customFormat="1" x14ac:dyDescent="0.35">
      <c r="A50" s="253"/>
      <c r="B50" s="328" t="s">
        <v>113</v>
      </c>
      <c r="C50" s="328"/>
      <c r="D50" s="328"/>
      <c r="E50" s="330">
        <f>'Balance Sheet'!H10</f>
        <v>51446</v>
      </c>
      <c r="F50" s="330">
        <f>'Balance Sheet'!I10</f>
        <v>51577</v>
      </c>
      <c r="G50" s="330">
        <f>'Balance Sheet'!J10</f>
        <v>68552</v>
      </c>
      <c r="H50" s="330">
        <f>'Balance Sheet'!K10</f>
        <v>63754</v>
      </c>
    </row>
    <row r="51" spans="1:8" customFormat="1" ht="15" thickBot="1" x14ac:dyDescent="0.4">
      <c r="A51" s="253"/>
      <c r="B51" s="41" t="s">
        <v>114</v>
      </c>
      <c r="C51" s="331"/>
      <c r="D51" s="331"/>
      <c r="E51" s="42">
        <f t="shared" ref="E51:H51" si="6">E49/E50</f>
        <v>3.3666368619523386</v>
      </c>
      <c r="F51" s="42">
        <f t="shared" si="6"/>
        <v>3.373596758244954</v>
      </c>
      <c r="G51" s="42">
        <f t="shared" si="6"/>
        <v>3.0735791807678843</v>
      </c>
      <c r="H51" s="42">
        <f t="shared" si="6"/>
        <v>3.667879662452552</v>
      </c>
    </row>
    <row r="52" spans="1:8" customFormat="1" ht="15" thickTop="1" x14ac:dyDescent="0.35">
      <c r="A52" s="253"/>
      <c r="B52" s="43"/>
      <c r="C52" s="332"/>
      <c r="D52" s="332"/>
      <c r="E52" s="44"/>
      <c r="F52" s="44"/>
      <c r="G52" s="44"/>
      <c r="H52" s="44"/>
    </row>
    <row r="53" spans="1:8" customFormat="1" ht="18.5" x14ac:dyDescent="0.35">
      <c r="A53" s="253"/>
      <c r="B53" s="327" t="s">
        <v>115</v>
      </c>
      <c r="C53" s="327"/>
      <c r="D53" s="327"/>
      <c r="E53" s="327"/>
      <c r="F53" s="327"/>
      <c r="G53" s="327"/>
      <c r="H53" s="327"/>
    </row>
    <row r="54" spans="1:8" customFormat="1" x14ac:dyDescent="0.35">
      <c r="A54" s="253"/>
      <c r="B54" s="253"/>
      <c r="C54" s="253"/>
      <c r="D54" s="253"/>
      <c r="E54" s="39">
        <v>44986</v>
      </c>
      <c r="F54" s="39">
        <v>45352</v>
      </c>
      <c r="G54" s="39">
        <v>45717</v>
      </c>
      <c r="H54" s="39">
        <v>46082</v>
      </c>
    </row>
    <row r="55" spans="1:8" customFormat="1" x14ac:dyDescent="0.35">
      <c r="A55" s="253"/>
      <c r="B55" s="328" t="s">
        <v>6</v>
      </c>
      <c r="C55" s="328"/>
      <c r="D55" s="328"/>
      <c r="E55" s="330">
        <f>'Historical '!E7</f>
        <v>243352.69</v>
      </c>
      <c r="F55" s="330">
        <f>'Historical '!F7</f>
        <v>229170.78</v>
      </c>
      <c r="G55" s="330">
        <f>'Historical '!G7</f>
        <v>218542.51</v>
      </c>
      <c r="H55" s="330">
        <f>'Historical '!H7</f>
        <v>232139.94</v>
      </c>
    </row>
    <row r="56" spans="1:8" customFormat="1" x14ac:dyDescent="0.35">
      <c r="A56" s="253"/>
      <c r="B56" s="328" t="s">
        <v>103</v>
      </c>
      <c r="C56" s="328"/>
      <c r="D56" s="328"/>
      <c r="E56" s="330">
        <f t="shared" ref="E56:H56" si="7">E38</f>
        <v>285395.77999999997</v>
      </c>
      <c r="F56" s="330">
        <f t="shared" si="7"/>
        <v>269312.42</v>
      </c>
      <c r="G56" s="330">
        <f t="shared" si="7"/>
        <v>275458.57999999996</v>
      </c>
      <c r="H56" s="330">
        <f t="shared" si="7"/>
        <v>296514.62</v>
      </c>
    </row>
    <row r="57" spans="1:8" customFormat="1" ht="15" thickBot="1" x14ac:dyDescent="0.4">
      <c r="A57" s="253"/>
      <c r="B57" s="41" t="s">
        <v>116</v>
      </c>
      <c r="C57" s="331"/>
      <c r="D57" s="331"/>
      <c r="E57" s="42">
        <f t="shared" ref="E57:H57" si="8">E55/E56</f>
        <v>0.85268496261577531</v>
      </c>
      <c r="F57" s="42">
        <f t="shared" si="8"/>
        <v>0.85094768373474949</v>
      </c>
      <c r="G57" s="42">
        <f t="shared" si="8"/>
        <v>0.79337702967901758</v>
      </c>
      <c r="H57" s="42">
        <f t="shared" si="8"/>
        <v>0.78289542687642188</v>
      </c>
    </row>
    <row r="58" spans="1:8" customFormat="1" ht="15" thickTop="1" x14ac:dyDescent="0.35">
      <c r="A58" s="253"/>
      <c r="B58" s="43"/>
      <c r="C58" s="332"/>
      <c r="D58" s="332"/>
      <c r="E58" s="44"/>
      <c r="F58" s="44"/>
      <c r="G58" s="44"/>
      <c r="H58" s="44"/>
    </row>
    <row r="59" spans="1:8" customFormat="1" ht="18.5" x14ac:dyDescent="0.35">
      <c r="A59" s="253"/>
      <c r="B59" s="327" t="s">
        <v>117</v>
      </c>
      <c r="C59" s="327"/>
      <c r="D59" s="327"/>
      <c r="E59" s="327"/>
      <c r="F59" s="327"/>
      <c r="G59" s="327"/>
      <c r="H59" s="327"/>
    </row>
    <row r="60" spans="1:8" customFormat="1" x14ac:dyDescent="0.35">
      <c r="A60" s="253"/>
      <c r="B60" s="253"/>
      <c r="C60" s="253"/>
      <c r="D60" s="253"/>
      <c r="E60" s="39">
        <f>E30</f>
        <v>44986</v>
      </c>
      <c r="F60" s="39">
        <f>F30</f>
        <v>45352</v>
      </c>
      <c r="G60" s="39">
        <f>G30</f>
        <v>45717</v>
      </c>
      <c r="H60" s="39">
        <f>H30</f>
        <v>46082</v>
      </c>
    </row>
    <row r="61" spans="1:8" customFormat="1" x14ac:dyDescent="0.35">
      <c r="A61" s="253"/>
      <c r="B61" s="328" t="s">
        <v>118</v>
      </c>
      <c r="C61" s="328"/>
      <c r="D61" s="328"/>
      <c r="E61" s="330">
        <f>(E33*1.2)+(E39*1.5)+(E45*3.3)+(E51*0.9)+(E57*1.7)</f>
        <v>5.2473499813987301</v>
      </c>
      <c r="F61" s="330">
        <f t="shared" ref="F61:H61" si="9">(F33*1.2)+(F39*1.5)+(F45*3.3)+(F51*0.9)+(F57*1.7)</f>
        <v>5.6859757650998546</v>
      </c>
      <c r="G61" s="330">
        <f t="shared" si="9"/>
        <v>4.9081605626032641</v>
      </c>
      <c r="H61" s="330">
        <f t="shared" si="9"/>
        <v>5.2353584180303212</v>
      </c>
    </row>
    <row r="62" spans="1:8" customFormat="1" ht="15" thickBot="1" x14ac:dyDescent="0.4">
      <c r="A62" s="253"/>
      <c r="B62" s="41" t="s">
        <v>119</v>
      </c>
      <c r="C62" s="41"/>
      <c r="D62" s="41"/>
      <c r="E62" s="45" t="str">
        <f t="shared" ref="E62:H62" si="10">IF(E61&lt;1.81," Distressed",IF(E61&gt;3,"Strong","Grey Zone"))</f>
        <v>Strong</v>
      </c>
      <c r="F62" s="45" t="str">
        <f t="shared" si="10"/>
        <v>Strong</v>
      </c>
      <c r="G62" s="45" t="str">
        <f t="shared" si="10"/>
        <v>Strong</v>
      </c>
      <c r="H62" s="45" t="str">
        <f t="shared" si="10"/>
        <v>Strong</v>
      </c>
    </row>
    <row r="63" spans="1:8" customFormat="1" ht="15" thickTop="1" x14ac:dyDescent="0.35">
      <c r="A63" s="253"/>
      <c r="B63" s="253"/>
      <c r="C63" s="253"/>
      <c r="D63" s="253"/>
      <c r="E63" s="253"/>
      <c r="F63" s="253"/>
      <c r="G63" s="253"/>
      <c r="H63" s="253"/>
    </row>
    <row r="64" spans="1:8" customFormat="1" x14ac:dyDescent="0.35">
      <c r="A64" s="253"/>
      <c r="B64" s="253"/>
      <c r="C64" s="253"/>
      <c r="D64" s="253"/>
      <c r="E64" s="253"/>
      <c r="F64" s="253"/>
      <c r="G64" s="253"/>
      <c r="H64" s="253"/>
    </row>
    <row r="65" spans="1:10" customFormat="1" x14ac:dyDescent="0.35">
      <c r="A65" s="253"/>
      <c r="B65" s="253"/>
      <c r="C65" s="253"/>
      <c r="D65" s="253"/>
      <c r="E65" s="253"/>
      <c r="F65" s="253"/>
      <c r="G65" s="253"/>
      <c r="H65" s="253"/>
    </row>
    <row r="66" spans="1:10" customFormat="1" x14ac:dyDescent="0.35">
      <c r="A66" s="253"/>
      <c r="B66" s="253"/>
      <c r="C66" s="253"/>
      <c r="D66" s="253"/>
      <c r="E66" s="253"/>
      <c r="F66" s="253"/>
      <c r="G66" s="253"/>
      <c r="H66" s="253"/>
    </row>
    <row r="67" spans="1:10" customFormat="1" x14ac:dyDescent="0.35">
      <c r="A67" s="253"/>
      <c r="B67" s="253"/>
      <c r="C67" s="253"/>
      <c r="D67" s="253"/>
      <c r="E67" s="253"/>
      <c r="F67" s="253"/>
      <c r="G67" s="253"/>
      <c r="H67" s="253"/>
    </row>
    <row r="68" spans="1:10" customFormat="1" x14ac:dyDescent="0.35">
      <c r="A68" s="253"/>
      <c r="B68" s="253"/>
      <c r="C68" s="253"/>
      <c r="D68" s="253"/>
      <c r="E68" s="253"/>
      <c r="F68" s="253"/>
      <c r="G68" s="253"/>
      <c r="H68" s="253"/>
    </row>
    <row r="69" spans="1:10" customFormat="1" x14ac:dyDescent="0.35">
      <c r="A69" s="253"/>
      <c r="B69" s="253"/>
      <c r="C69" s="253"/>
      <c r="D69" s="253"/>
      <c r="E69" s="253"/>
      <c r="F69" s="253"/>
      <c r="G69" s="253"/>
      <c r="H69" s="253"/>
    </row>
    <row r="70" spans="1:10" customFormat="1" x14ac:dyDescent="0.35">
      <c r="A70" s="253"/>
      <c r="B70" s="253"/>
      <c r="C70" s="253"/>
      <c r="D70" s="253"/>
      <c r="E70" s="253"/>
      <c r="F70" s="253"/>
      <c r="G70" s="253"/>
      <c r="H70" s="253"/>
    </row>
    <row r="71" spans="1:10" customFormat="1" x14ac:dyDescent="0.35">
      <c r="A71" s="253"/>
      <c r="B71" s="253"/>
      <c r="C71" s="253"/>
      <c r="D71" s="253"/>
      <c r="E71" s="253"/>
      <c r="F71" s="253"/>
      <c r="G71" s="253"/>
      <c r="H71" s="253"/>
    </row>
    <row r="72" spans="1:10" customFormat="1" x14ac:dyDescent="0.35">
      <c r="A72" s="253"/>
      <c r="B72" s="253"/>
      <c r="C72" s="253"/>
      <c r="D72" s="253"/>
      <c r="E72" s="253"/>
      <c r="F72" s="253"/>
      <c r="G72" s="253"/>
      <c r="H72" s="253"/>
    </row>
    <row r="73" spans="1:10" x14ac:dyDescent="0.35">
      <c r="F73" s="334"/>
      <c r="G73" s="335"/>
      <c r="H73" s="335"/>
      <c r="I73" s="335"/>
      <c r="J73" s="335"/>
    </row>
    <row r="74" spans="1:10" x14ac:dyDescent="0.35">
      <c r="F74" s="337"/>
      <c r="G74" s="338"/>
      <c r="H74" s="338"/>
      <c r="I74" s="339"/>
      <c r="J74" s="339"/>
    </row>
    <row r="75" spans="1:10" x14ac:dyDescent="0.35">
      <c r="F75" s="337"/>
      <c r="G75" s="338"/>
      <c r="H75" s="338"/>
      <c r="I75" s="339"/>
      <c r="J75" s="339"/>
    </row>
    <row r="76" spans="1:10" x14ac:dyDescent="0.35">
      <c r="F76" s="337"/>
      <c r="G76" s="338"/>
      <c r="H76" s="338"/>
      <c r="I76" s="339"/>
      <c r="J76" s="339"/>
    </row>
    <row r="77" spans="1:10" x14ac:dyDescent="0.35">
      <c r="F77" s="337"/>
      <c r="G77" s="338"/>
      <c r="H77" s="338"/>
      <c r="I77" s="339"/>
      <c r="J77" s="339"/>
    </row>
    <row r="78" spans="1:10" x14ac:dyDescent="0.35">
      <c r="F78" s="337"/>
      <c r="G78" s="338"/>
      <c r="H78" s="338"/>
      <c r="I78" s="339"/>
      <c r="J78" s="339"/>
    </row>
    <row r="79" spans="1:10" x14ac:dyDescent="0.35">
      <c r="F79" s="337"/>
      <c r="G79" s="335"/>
      <c r="H79" s="335"/>
      <c r="I79" s="335"/>
      <c r="J79" s="335"/>
    </row>
    <row r="80" spans="1:10" x14ac:dyDescent="0.35">
      <c r="F80" s="337"/>
      <c r="G80" s="335"/>
      <c r="H80" s="335"/>
      <c r="I80" s="335"/>
      <c r="J80" s="335"/>
    </row>
  </sheetData>
  <mergeCells count="7">
    <mergeCell ref="B59:H59"/>
    <mergeCell ref="B1:H2"/>
    <mergeCell ref="B29:H29"/>
    <mergeCell ref="B35:H35"/>
    <mergeCell ref="B41:H41"/>
    <mergeCell ref="B47:H47"/>
    <mergeCell ref="B53:H53"/>
  </mergeCells>
  <pageMargins left="0.7" right="0.7" top="0.75" bottom="0.75" header="0.3" footer="0.3"/>
  <pageSetup scale="7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CBB6-1A39-4E89-95E6-2706E2D045A7}">
  <sheetPr codeName="Sheet7">
    <pageSetUpPr fitToPage="1"/>
  </sheetPr>
  <dimension ref="B1:H76"/>
  <sheetViews>
    <sheetView showGridLines="0" topLeftCell="A40" zoomScale="73" workbookViewId="0">
      <selection activeCell="K10" sqref="K10"/>
    </sheetView>
  </sheetViews>
  <sheetFormatPr defaultRowHeight="14.5" x14ac:dyDescent="0.35"/>
  <cols>
    <col min="1" max="1" width="1.90625" customWidth="1"/>
    <col min="2" max="2" width="27.54296875" style="253" bestFit="1" customWidth="1"/>
    <col min="3" max="4" width="8.7265625" style="253"/>
    <col min="5" max="6" width="12.08984375" style="253" bestFit="1" customWidth="1"/>
    <col min="7" max="7" width="12.08984375" style="253" customWidth="1"/>
    <col min="8" max="8" width="12.08984375" style="253" bestFit="1" customWidth="1"/>
  </cols>
  <sheetData>
    <row r="1" spans="2:8" x14ac:dyDescent="0.35">
      <c r="B1" s="305" t="s">
        <v>121</v>
      </c>
      <c r="C1" s="305"/>
      <c r="D1" s="305"/>
      <c r="E1" s="305"/>
      <c r="F1" s="305"/>
      <c r="G1" s="305"/>
      <c r="H1" s="305"/>
    </row>
    <row r="2" spans="2:8" x14ac:dyDescent="0.35">
      <c r="B2" s="305"/>
      <c r="C2" s="305"/>
      <c r="D2" s="305"/>
      <c r="E2" s="305"/>
      <c r="F2" s="305"/>
      <c r="G2" s="305"/>
      <c r="H2" s="305"/>
    </row>
    <row r="4" spans="2:8" x14ac:dyDescent="0.35">
      <c r="B4" s="2" t="s">
        <v>505</v>
      </c>
    </row>
    <row r="5" spans="2:8" x14ac:dyDescent="0.35">
      <c r="B5" s="2" t="s">
        <v>135</v>
      </c>
    </row>
    <row r="6" spans="2:8" ht="4.25" customHeight="1" x14ac:dyDescent="0.35">
      <c r="B6" s="2"/>
    </row>
    <row r="7" spans="2:8" x14ac:dyDescent="0.35">
      <c r="B7" s="2" t="s">
        <v>136</v>
      </c>
    </row>
    <row r="8" spans="2:8" ht="3.65" customHeight="1" thickBot="1" x14ac:dyDescent="0.4">
      <c r="B8" s="392"/>
      <c r="C8" s="392"/>
      <c r="D8" s="392"/>
      <c r="E8" s="392"/>
      <c r="F8" s="392"/>
      <c r="G8" s="392"/>
      <c r="H8" s="392"/>
    </row>
    <row r="9" spans="2:8" ht="15" thickTop="1" x14ac:dyDescent="0.35">
      <c r="B9" s="253" t="s">
        <v>101</v>
      </c>
    </row>
    <row r="34" spans="2:8" ht="18.5" x14ac:dyDescent="0.35">
      <c r="B34" s="327" t="s">
        <v>122</v>
      </c>
      <c r="C34" s="327"/>
      <c r="D34" s="327"/>
      <c r="E34" s="327"/>
      <c r="F34" s="327"/>
      <c r="G34" s="327"/>
      <c r="H34" s="327"/>
    </row>
    <row r="35" spans="2:8" x14ac:dyDescent="0.35">
      <c r="E35" s="39">
        <f>'[1]Reinvestment rate'!F34</f>
        <v>44986</v>
      </c>
      <c r="F35" s="39">
        <f>'[1]Reinvestment rate'!G34</f>
        <v>45352</v>
      </c>
      <c r="G35" s="39">
        <f>'[1]Reinvestment rate'!H34</f>
        <v>45717</v>
      </c>
      <c r="H35" s="39">
        <f>'[1]Reinvestment rate'!I34</f>
        <v>46082</v>
      </c>
    </row>
    <row r="36" spans="2:8" x14ac:dyDescent="0.35">
      <c r="B36" s="328" t="s">
        <v>123</v>
      </c>
      <c r="C36" s="328"/>
      <c r="D36" s="328"/>
      <c r="E36" s="330">
        <f>'Historical '!E17</f>
        <v>8075.3500000000167</v>
      </c>
      <c r="F36" s="330">
        <f>'Historical '!F17</f>
        <v>-4909.6099999999969</v>
      </c>
      <c r="G36" s="330">
        <f>'Historical '!G17</f>
        <v>3173.7799999999916</v>
      </c>
      <c r="H36" s="330">
        <f>'Historical '!H17</f>
        <v>10885.820000000003</v>
      </c>
    </row>
    <row r="37" spans="2:8" x14ac:dyDescent="0.35">
      <c r="B37" s="328" t="s">
        <v>124</v>
      </c>
      <c r="C37" s="328"/>
      <c r="D37" s="328"/>
      <c r="E37" s="330">
        <f>'Balance Sheet'!H6</f>
        <v>108762.57</v>
      </c>
      <c r="F37" s="330">
        <f>'Balance Sheet'!I6</f>
        <v>97558.930000000008</v>
      </c>
      <c r="G37" s="330">
        <f>'Balance Sheet'!J6</f>
        <v>91602.695000000007</v>
      </c>
      <c r="H37" s="330">
        <f>'Balance Sheet'!K6</f>
        <v>96668.640000000014</v>
      </c>
    </row>
    <row r="38" spans="2:8" ht="15" thickBot="1" x14ac:dyDescent="0.4">
      <c r="B38" s="41" t="s">
        <v>59</v>
      </c>
      <c r="C38" s="41"/>
      <c r="D38" s="41"/>
      <c r="E38" s="42">
        <f>E36/E37</f>
        <v>7.4247509965974651E-2</v>
      </c>
      <c r="F38" s="42">
        <f t="shared" ref="F38:H38" si="0">F36/F37</f>
        <v>-5.0324557680163126E-2</v>
      </c>
      <c r="G38" s="42">
        <f t="shared" si="0"/>
        <v>3.4647233905072239E-2</v>
      </c>
      <c r="H38" s="42">
        <f t="shared" si="0"/>
        <v>0.11260963224474868</v>
      </c>
    </row>
    <row r="39" spans="2:8" ht="15" thickTop="1" x14ac:dyDescent="0.35"/>
    <row r="40" spans="2:8" ht="18.5" x14ac:dyDescent="0.35">
      <c r="B40" s="327" t="s">
        <v>125</v>
      </c>
      <c r="C40" s="327"/>
      <c r="D40" s="327"/>
      <c r="E40" s="327"/>
      <c r="F40" s="327"/>
      <c r="G40" s="327"/>
      <c r="H40" s="327"/>
    </row>
    <row r="41" spans="2:8" x14ac:dyDescent="0.35">
      <c r="E41" s="39">
        <f t="shared" ref="E41:H42" si="1">E35</f>
        <v>44986</v>
      </c>
      <c r="F41" s="39">
        <f t="shared" si="1"/>
        <v>45352</v>
      </c>
      <c r="G41" s="39">
        <f t="shared" si="1"/>
        <v>45717</v>
      </c>
      <c r="H41" s="39">
        <f t="shared" si="1"/>
        <v>46082</v>
      </c>
    </row>
    <row r="42" spans="2:8" x14ac:dyDescent="0.35">
      <c r="B42" s="328" t="str">
        <f>B36</f>
        <v xml:space="preserve">Net Profit </v>
      </c>
      <c r="C42" s="328"/>
      <c r="D42" s="328"/>
      <c r="E42" s="330">
        <f>E36</f>
        <v>8075.3500000000167</v>
      </c>
      <c r="F42" s="330">
        <f t="shared" si="1"/>
        <v>-4909.6099999999969</v>
      </c>
      <c r="G42" s="330">
        <f t="shared" si="1"/>
        <v>3173.7799999999916</v>
      </c>
      <c r="H42" s="330">
        <f t="shared" si="1"/>
        <v>10885.820000000003</v>
      </c>
    </row>
    <row r="43" spans="2:8" x14ac:dyDescent="0.35">
      <c r="B43" s="328" t="s">
        <v>126</v>
      </c>
      <c r="C43" s="328"/>
      <c r="D43" s="328"/>
      <c r="E43" s="330">
        <f>'Historical '!E7</f>
        <v>243352.69</v>
      </c>
      <c r="F43" s="330">
        <f>'Historical '!F7</f>
        <v>229170.78</v>
      </c>
      <c r="G43" s="330">
        <f>'Historical '!G7</f>
        <v>218542.51</v>
      </c>
      <c r="H43" s="330">
        <f>'Historical '!H7</f>
        <v>232139.94</v>
      </c>
    </row>
    <row r="44" spans="2:8" ht="15" thickBot="1" x14ac:dyDescent="0.4">
      <c r="B44" s="41" t="s">
        <v>127</v>
      </c>
      <c r="C44" s="41"/>
      <c r="D44" s="41"/>
      <c r="E44" s="42">
        <f t="shared" ref="E44:H44" si="2">E42/E43</f>
        <v>3.3183730165464852E-2</v>
      </c>
      <c r="F44" s="42">
        <f t="shared" si="2"/>
        <v>-2.1423368197289364E-2</v>
      </c>
      <c r="G44" s="42">
        <f t="shared" si="2"/>
        <v>1.4522483520483001E-2</v>
      </c>
      <c r="H44" s="42">
        <f t="shared" si="2"/>
        <v>4.6893352346003031E-2</v>
      </c>
    </row>
    <row r="45" spans="2:8" ht="15" thickTop="1" x14ac:dyDescent="0.35">
      <c r="B45" s="43"/>
      <c r="C45" s="43"/>
      <c r="D45" s="43"/>
      <c r="E45" s="44"/>
      <c r="F45" s="44"/>
      <c r="G45" s="44"/>
      <c r="H45" s="44"/>
    </row>
    <row r="46" spans="2:8" x14ac:dyDescent="0.35">
      <c r="E46" s="39">
        <v>44986</v>
      </c>
      <c r="F46" s="39">
        <v>45352</v>
      </c>
      <c r="G46" s="39">
        <v>45717</v>
      </c>
      <c r="H46" s="39">
        <v>46082</v>
      </c>
    </row>
    <row r="47" spans="2:8" x14ac:dyDescent="0.35">
      <c r="B47" s="328" t="s">
        <v>126</v>
      </c>
      <c r="C47" s="328"/>
      <c r="D47" s="328"/>
      <c r="E47" s="330">
        <f t="shared" ref="E47:H47" si="3">E43</f>
        <v>243352.69</v>
      </c>
      <c r="F47" s="330">
        <f t="shared" si="3"/>
        <v>229170.78</v>
      </c>
      <c r="G47" s="330">
        <f t="shared" si="3"/>
        <v>218542.51</v>
      </c>
      <c r="H47" s="330">
        <f t="shared" si="3"/>
        <v>232139.94</v>
      </c>
    </row>
    <row r="48" spans="2:8" x14ac:dyDescent="0.35">
      <c r="B48" s="328" t="s">
        <v>128</v>
      </c>
      <c r="C48" s="328"/>
      <c r="D48" s="328"/>
      <c r="E48" s="330">
        <f>'Balance Sheet'!H16</f>
        <v>390458.44</v>
      </c>
      <c r="F48" s="330">
        <f>'Balance Sheet'!I16</f>
        <v>366872.065</v>
      </c>
      <c r="G48" s="330">
        <f>'Balance Sheet'!J16</f>
        <v>350692</v>
      </c>
      <c r="H48" s="330">
        <f>'Balance Sheet'!K16</f>
        <v>364861.09499999997</v>
      </c>
    </row>
    <row r="49" spans="2:8" ht="15" thickBot="1" x14ac:dyDescent="0.4">
      <c r="B49" s="331" t="s">
        <v>129</v>
      </c>
      <c r="C49" s="331"/>
      <c r="D49" s="331"/>
      <c r="E49" s="393">
        <f t="shared" ref="E49:H49" si="4">E47/E48</f>
        <v>0.62324863562944111</v>
      </c>
      <c r="F49" s="393">
        <f t="shared" si="4"/>
        <v>0.62466129712001917</v>
      </c>
      <c r="G49" s="393">
        <f t="shared" si="4"/>
        <v>0.62317506529946509</v>
      </c>
      <c r="H49" s="393">
        <f t="shared" si="4"/>
        <v>0.63624196490447971</v>
      </c>
    </row>
    <row r="50" spans="2:8" ht="15" thickTop="1" x14ac:dyDescent="0.35">
      <c r="B50" s="332"/>
      <c r="C50" s="332"/>
      <c r="D50" s="332"/>
      <c r="E50" s="394"/>
      <c r="F50" s="394"/>
      <c r="G50" s="394"/>
      <c r="H50" s="394"/>
    </row>
    <row r="51" spans="2:8" x14ac:dyDescent="0.35">
      <c r="E51" s="39">
        <v>44986</v>
      </c>
      <c r="F51" s="39">
        <v>45352</v>
      </c>
      <c r="G51" s="39">
        <v>45717</v>
      </c>
      <c r="H51" s="39">
        <v>46082</v>
      </c>
    </row>
    <row r="52" spans="2:8" x14ac:dyDescent="0.35">
      <c r="B52" s="328" t="s">
        <v>128</v>
      </c>
      <c r="C52" s="328"/>
      <c r="D52" s="328"/>
      <c r="E52" s="330">
        <f t="shared" ref="E52:H52" si="5">E48</f>
        <v>390458.44</v>
      </c>
      <c r="F52" s="330">
        <f t="shared" si="5"/>
        <v>366872.065</v>
      </c>
      <c r="G52" s="330">
        <f t="shared" si="5"/>
        <v>350692</v>
      </c>
      <c r="H52" s="330">
        <f t="shared" si="5"/>
        <v>364861.09499999997</v>
      </c>
    </row>
    <row r="53" spans="2:8" x14ac:dyDescent="0.35">
      <c r="B53" s="328" t="s">
        <v>124</v>
      </c>
      <c r="C53" s="328"/>
      <c r="D53" s="328"/>
      <c r="E53" s="330">
        <f t="shared" ref="E53:H53" si="6">E37</f>
        <v>108762.57</v>
      </c>
      <c r="F53" s="330">
        <f t="shared" si="6"/>
        <v>97558.930000000008</v>
      </c>
      <c r="G53" s="330">
        <f t="shared" si="6"/>
        <v>91602.695000000007</v>
      </c>
      <c r="H53" s="330">
        <f t="shared" si="6"/>
        <v>96668.640000000014</v>
      </c>
    </row>
    <row r="54" spans="2:8" ht="15" thickBot="1" x14ac:dyDescent="0.4">
      <c r="B54" s="331" t="s">
        <v>130</v>
      </c>
      <c r="C54" s="331"/>
      <c r="D54" s="331"/>
      <c r="E54" s="393">
        <f t="shared" ref="E54:H54" si="7">E52/E53</f>
        <v>3.5900074814340996</v>
      </c>
      <c r="F54" s="393">
        <f t="shared" si="7"/>
        <v>3.7605175149009935</v>
      </c>
      <c r="G54" s="393">
        <f t="shared" si="7"/>
        <v>3.8284026468871901</v>
      </c>
      <c r="H54" s="393">
        <f t="shared" si="7"/>
        <v>3.7743480719290137</v>
      </c>
    </row>
    <row r="55" spans="2:8" ht="15" thickTop="1" x14ac:dyDescent="0.35"/>
    <row r="56" spans="2:8" ht="15" thickBot="1" x14ac:dyDescent="0.4">
      <c r="B56" s="41" t="s">
        <v>131</v>
      </c>
      <c r="C56" s="41"/>
      <c r="D56" s="41"/>
      <c r="E56" s="42">
        <f t="shared" ref="E56:H56" si="8">E44*E49*E54</f>
        <v>7.4247509965974651E-2</v>
      </c>
      <c r="F56" s="42">
        <f t="shared" si="8"/>
        <v>-5.0324557680163126E-2</v>
      </c>
      <c r="G56" s="42">
        <f t="shared" si="8"/>
        <v>3.4647233905072246E-2</v>
      </c>
      <c r="H56" s="42">
        <f t="shared" si="8"/>
        <v>0.11260963224474868</v>
      </c>
    </row>
    <row r="57" spans="2:8" ht="15" thickTop="1" x14ac:dyDescent="0.35">
      <c r="B57" s="43"/>
      <c r="C57" s="43"/>
      <c r="D57" s="43"/>
      <c r="E57" s="44"/>
      <c r="F57" s="44"/>
      <c r="G57" s="44"/>
      <c r="H57" s="44"/>
    </row>
    <row r="58" spans="2:8" ht="18.5" x14ac:dyDescent="0.35">
      <c r="B58" s="327" t="s">
        <v>132</v>
      </c>
      <c r="C58" s="327"/>
      <c r="D58" s="327"/>
      <c r="E58" s="327"/>
      <c r="F58" s="327"/>
      <c r="G58" s="327"/>
      <c r="H58" s="327"/>
    </row>
    <row r="59" spans="2:8" x14ac:dyDescent="0.35">
      <c r="E59" s="39">
        <f>E35</f>
        <v>44986</v>
      </c>
      <c r="F59" s="39">
        <f>F35</f>
        <v>45352</v>
      </c>
      <c r="G59" s="39">
        <f>G35</f>
        <v>45717</v>
      </c>
      <c r="H59" s="39">
        <f>H35</f>
        <v>46082</v>
      </c>
    </row>
    <row r="60" spans="2:8" x14ac:dyDescent="0.35">
      <c r="B60" s="328" t="s">
        <v>123</v>
      </c>
      <c r="C60" s="328"/>
      <c r="D60" s="328"/>
      <c r="E60" s="330">
        <f>E42</f>
        <v>8075.3500000000167</v>
      </c>
      <c r="F60" s="330">
        <f>F42</f>
        <v>-4909.6099999999969</v>
      </c>
      <c r="G60" s="330">
        <f>G42</f>
        <v>3173.7799999999916</v>
      </c>
      <c r="H60" s="330">
        <f>H42</f>
        <v>10885.820000000003</v>
      </c>
    </row>
    <row r="61" spans="2:8" x14ac:dyDescent="0.35">
      <c r="B61" s="328" t="str">
        <f>B48</f>
        <v>Average Total Assets</v>
      </c>
      <c r="C61" s="328"/>
      <c r="D61" s="328"/>
      <c r="E61" s="330">
        <f t="shared" ref="E61:H61" si="9">E52</f>
        <v>390458.44</v>
      </c>
      <c r="F61" s="330">
        <f t="shared" si="9"/>
        <v>366872.065</v>
      </c>
      <c r="G61" s="330">
        <f t="shared" si="9"/>
        <v>350692</v>
      </c>
      <c r="H61" s="330">
        <f t="shared" si="9"/>
        <v>364861.09499999997</v>
      </c>
    </row>
    <row r="62" spans="2:8" ht="15" thickBot="1" x14ac:dyDescent="0.4">
      <c r="B62" s="41" t="s">
        <v>132</v>
      </c>
      <c r="C62" s="41"/>
      <c r="D62" s="41"/>
      <c r="E62" s="42">
        <f t="shared" ref="E62:H62" si="10">E60/E61</f>
        <v>2.0681714550721497E-2</v>
      </c>
      <c r="F62" s="42">
        <f t="shared" si="10"/>
        <v>-1.3382348966798541E-2</v>
      </c>
      <c r="G62" s="42">
        <f t="shared" si="10"/>
        <v>9.050049616187399E-3</v>
      </c>
      <c r="H62" s="42">
        <f t="shared" si="10"/>
        <v>2.9835518637579061E-2</v>
      </c>
    </row>
    <row r="63" spans="2:8" ht="15" thickTop="1" x14ac:dyDescent="0.35"/>
    <row r="64" spans="2:8" ht="18.5" x14ac:dyDescent="0.35">
      <c r="B64" s="327" t="s">
        <v>133</v>
      </c>
      <c r="C64" s="327"/>
      <c r="D64" s="327"/>
      <c r="E64" s="327"/>
      <c r="F64" s="327"/>
      <c r="G64" s="327"/>
      <c r="H64" s="327"/>
    </row>
    <row r="65" spans="2:8" x14ac:dyDescent="0.35">
      <c r="E65" s="39">
        <f t="shared" ref="E65:H65" si="11">E59</f>
        <v>44986</v>
      </c>
      <c r="F65" s="39">
        <f t="shared" si="11"/>
        <v>45352</v>
      </c>
      <c r="G65" s="39">
        <f t="shared" si="11"/>
        <v>45717</v>
      </c>
      <c r="H65" s="39">
        <f t="shared" si="11"/>
        <v>46082</v>
      </c>
    </row>
    <row r="66" spans="2:8" x14ac:dyDescent="0.35">
      <c r="B66" s="328" t="str">
        <f>B60</f>
        <v xml:space="preserve">Net Profit </v>
      </c>
      <c r="C66" s="328"/>
      <c r="D66" s="328"/>
      <c r="E66" s="330">
        <f t="shared" ref="E66:H67" si="12">E42</f>
        <v>8075.3500000000167</v>
      </c>
      <c r="F66" s="330">
        <f t="shared" si="12"/>
        <v>-4909.6099999999969</v>
      </c>
      <c r="G66" s="330">
        <f t="shared" si="12"/>
        <v>3173.7799999999916</v>
      </c>
      <c r="H66" s="330">
        <f t="shared" si="12"/>
        <v>10885.820000000003</v>
      </c>
    </row>
    <row r="67" spans="2:8" x14ac:dyDescent="0.35">
      <c r="B67" s="328" t="s">
        <v>126</v>
      </c>
      <c r="C67" s="328"/>
      <c r="D67" s="328"/>
      <c r="E67" s="330">
        <f t="shared" si="12"/>
        <v>243352.69</v>
      </c>
      <c r="F67" s="330">
        <f t="shared" si="12"/>
        <v>229170.78</v>
      </c>
      <c r="G67" s="330">
        <f t="shared" si="12"/>
        <v>218542.51</v>
      </c>
      <c r="H67" s="330">
        <f t="shared" si="12"/>
        <v>232139.94</v>
      </c>
    </row>
    <row r="68" spans="2:8" ht="15" thickBot="1" x14ac:dyDescent="0.4">
      <c r="B68" s="41" t="s">
        <v>127</v>
      </c>
      <c r="C68" s="41"/>
      <c r="D68" s="41"/>
      <c r="E68" s="42">
        <f t="shared" ref="E68:H68" si="13">E66/E67</f>
        <v>3.3183730165464852E-2</v>
      </c>
      <c r="F68" s="42">
        <f t="shared" si="13"/>
        <v>-2.1423368197289364E-2</v>
      </c>
      <c r="G68" s="42">
        <f t="shared" si="13"/>
        <v>1.4522483520483001E-2</v>
      </c>
      <c r="H68" s="42">
        <f t="shared" si="13"/>
        <v>4.6893352346003031E-2</v>
      </c>
    </row>
    <row r="69" spans="2:8" ht="15" thickTop="1" x14ac:dyDescent="0.35">
      <c r="B69" s="43"/>
      <c r="C69" s="43"/>
      <c r="D69" s="43"/>
      <c r="E69" s="44"/>
      <c r="F69" s="44"/>
      <c r="G69" s="44"/>
      <c r="H69" s="44"/>
    </row>
    <row r="70" spans="2:8" x14ac:dyDescent="0.35">
      <c r="E70" s="39">
        <f>E46</f>
        <v>44986</v>
      </c>
      <c r="F70" s="39">
        <f>F46</f>
        <v>45352</v>
      </c>
      <c r="G70" s="39">
        <f>G46</f>
        <v>45717</v>
      </c>
      <c r="H70" s="39">
        <f>H46</f>
        <v>46082</v>
      </c>
    </row>
    <row r="71" spans="2:8" x14ac:dyDescent="0.35">
      <c r="B71" s="328" t="s">
        <v>126</v>
      </c>
      <c r="C71" s="328"/>
      <c r="D71" s="328"/>
      <c r="E71" s="330">
        <f t="shared" ref="E71:H71" si="14">E67</f>
        <v>243352.69</v>
      </c>
      <c r="F71" s="330">
        <f t="shared" si="14"/>
        <v>229170.78</v>
      </c>
      <c r="G71" s="330">
        <f t="shared" si="14"/>
        <v>218542.51</v>
      </c>
      <c r="H71" s="330">
        <f t="shared" si="14"/>
        <v>232139.94</v>
      </c>
    </row>
    <row r="72" spans="2:8" x14ac:dyDescent="0.35">
      <c r="B72" s="328" t="s">
        <v>128</v>
      </c>
      <c r="C72" s="328"/>
      <c r="D72" s="328"/>
      <c r="E72" s="330">
        <f>E52</f>
        <v>390458.44</v>
      </c>
      <c r="F72" s="330">
        <f>F52</f>
        <v>366872.065</v>
      </c>
      <c r="G72" s="330">
        <f>G52</f>
        <v>350692</v>
      </c>
      <c r="H72" s="330">
        <f>H52</f>
        <v>364861.09499999997</v>
      </c>
    </row>
    <row r="73" spans="2:8" ht="15" thickBot="1" x14ac:dyDescent="0.4">
      <c r="B73" s="331" t="s">
        <v>129</v>
      </c>
      <c r="C73" s="331"/>
      <c r="D73" s="331"/>
      <c r="E73" s="393">
        <f t="shared" ref="E73:H73" si="15">E71/E72</f>
        <v>0.62324863562944111</v>
      </c>
      <c r="F73" s="393">
        <f t="shared" si="15"/>
        <v>0.62466129712001917</v>
      </c>
      <c r="G73" s="393">
        <f t="shared" si="15"/>
        <v>0.62317506529946509</v>
      </c>
      <c r="H73" s="393">
        <f t="shared" si="15"/>
        <v>0.63624196490447971</v>
      </c>
    </row>
    <row r="74" spans="2:8" ht="15" thickTop="1" x14ac:dyDescent="0.35"/>
    <row r="75" spans="2:8" ht="15" thickBot="1" x14ac:dyDescent="0.4">
      <c r="B75" s="41" t="s">
        <v>134</v>
      </c>
      <c r="C75" s="41"/>
      <c r="D75" s="41"/>
      <c r="E75" s="42">
        <f t="shared" ref="E75:H75" si="16">E68*E73</f>
        <v>2.0681714550721497E-2</v>
      </c>
      <c r="F75" s="42">
        <f t="shared" si="16"/>
        <v>-1.3382348966798541E-2</v>
      </c>
      <c r="G75" s="42">
        <f t="shared" si="16"/>
        <v>9.0500496161874007E-3</v>
      </c>
      <c r="H75" s="42">
        <f t="shared" si="16"/>
        <v>2.9835518637579061E-2</v>
      </c>
    </row>
    <row r="76" spans="2:8" ht="15" thickTop="1" x14ac:dyDescent="0.35"/>
  </sheetData>
  <mergeCells count="5">
    <mergeCell ref="B1:H2"/>
    <mergeCell ref="B34:H34"/>
    <mergeCell ref="B40:H40"/>
    <mergeCell ref="B58:H58"/>
    <mergeCell ref="B64:H64"/>
  </mergeCells>
  <pageMargins left="0.7" right="0.7" top="0.75" bottom="0.75" header="0.3" footer="0.3"/>
  <pageSetup scale="6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D269F-01EF-4424-9C4C-32540FBAD3F5}">
  <sheetPr codeName="Sheet10">
    <pageSetUpPr fitToPage="1"/>
  </sheetPr>
  <dimension ref="A1:N125"/>
  <sheetViews>
    <sheetView showGridLines="0" topLeftCell="A52" zoomScale="88" zoomScaleNormal="88" workbookViewId="0">
      <selection activeCell="J60" sqref="J60"/>
    </sheetView>
  </sheetViews>
  <sheetFormatPr defaultColWidth="15.81640625" defaultRowHeight="14.5" x14ac:dyDescent="0.35"/>
  <cols>
    <col min="1" max="1" width="1.90625" customWidth="1"/>
    <col min="2" max="2" width="27" customWidth="1"/>
    <col min="3" max="3" width="17" bestFit="1" customWidth="1"/>
    <col min="5" max="5" width="15.81640625" customWidth="1"/>
  </cols>
  <sheetData>
    <row r="1" spans="1:12" ht="21.5" thickBot="1" x14ac:dyDescent="0.55000000000000004">
      <c r="A1" t="s">
        <v>270</v>
      </c>
      <c r="B1" s="241" t="s">
        <v>248</v>
      </c>
      <c r="C1" s="241"/>
      <c r="D1" s="241"/>
      <c r="E1" s="241"/>
      <c r="F1" s="241"/>
      <c r="G1" s="241"/>
      <c r="H1" s="241"/>
      <c r="I1" s="241"/>
      <c r="J1" s="241"/>
      <c r="K1" s="241"/>
      <c r="L1" s="241"/>
    </row>
    <row r="3" spans="1:12" ht="30" customHeight="1" x14ac:dyDescent="0.35">
      <c r="B3" s="83" t="s">
        <v>247</v>
      </c>
      <c r="C3" s="48"/>
      <c r="D3" s="84" t="s">
        <v>250</v>
      </c>
      <c r="E3" s="84" t="s">
        <v>251</v>
      </c>
      <c r="F3" s="84" t="s">
        <v>252</v>
      </c>
      <c r="G3" s="84" t="s">
        <v>249</v>
      </c>
    </row>
    <row r="4" spans="1:12" x14ac:dyDescent="0.35">
      <c r="B4" s="79" t="s">
        <v>253</v>
      </c>
      <c r="C4" s="79"/>
      <c r="D4" s="79">
        <v>31.97</v>
      </c>
      <c r="E4" s="79">
        <v>31.67</v>
      </c>
      <c r="F4" s="79">
        <v>22.47</v>
      </c>
      <c r="G4" s="80">
        <v>232140</v>
      </c>
    </row>
    <row r="5" spans="1:12" x14ac:dyDescent="0.35">
      <c r="B5" s="79" t="s">
        <v>254</v>
      </c>
      <c r="C5" s="79"/>
      <c r="D5" s="79">
        <v>30.96</v>
      </c>
      <c r="E5" s="79">
        <v>30.92</v>
      </c>
      <c r="F5" s="79">
        <v>20.72</v>
      </c>
      <c r="G5" s="80">
        <f>G4-13597</f>
        <v>218543</v>
      </c>
    </row>
    <row r="6" spans="1:12" x14ac:dyDescent="0.35">
      <c r="B6" s="79" t="s">
        <v>255</v>
      </c>
      <c r="C6" s="79"/>
      <c r="D6" s="79">
        <v>29.39</v>
      </c>
      <c r="E6" s="79">
        <v>29.94</v>
      </c>
      <c r="F6" s="79">
        <v>20.6</v>
      </c>
      <c r="G6" s="80">
        <f>'Profit &amp; Loss'!I4</f>
        <v>229170.78</v>
      </c>
    </row>
    <row r="7" spans="1:12" x14ac:dyDescent="0.35">
      <c r="B7" s="79" t="s">
        <v>256</v>
      </c>
      <c r="C7" s="79"/>
      <c r="D7" s="79">
        <v>28.79</v>
      </c>
      <c r="E7" s="81">
        <v>30.65</v>
      </c>
      <c r="F7" s="79">
        <v>20.3</v>
      </c>
      <c r="G7" s="80">
        <f>'Profit &amp; Loss'!I5</f>
        <v>206922.86000000002</v>
      </c>
    </row>
    <row r="9" spans="1:12" x14ac:dyDescent="0.35">
      <c r="B9" s="48" t="s">
        <v>257</v>
      </c>
      <c r="C9" s="48"/>
      <c r="D9" s="82" t="s">
        <v>253</v>
      </c>
      <c r="E9" s="82" t="s">
        <v>254</v>
      </c>
      <c r="F9" s="82" t="s">
        <v>255</v>
      </c>
      <c r="G9" s="72"/>
    </row>
    <row r="10" spans="1:12" x14ac:dyDescent="0.35">
      <c r="B10" s="47" t="s">
        <v>250</v>
      </c>
      <c r="C10" s="47"/>
      <c r="D10" s="69">
        <f>D4/D5-1</f>
        <v>3.2622739018087765E-2</v>
      </c>
      <c r="E10" s="69">
        <f>D5/D6-1</f>
        <v>5.3419530452534891E-2</v>
      </c>
      <c r="F10" s="69">
        <f>D6/D7-1</f>
        <v>2.0840569642236906E-2</v>
      </c>
      <c r="G10" s="68"/>
    </row>
    <row r="11" spans="1:12" x14ac:dyDescent="0.35">
      <c r="B11" s="47" t="s">
        <v>251</v>
      </c>
      <c r="C11" s="47"/>
      <c r="D11" s="69">
        <f>E4/E5-1</f>
        <v>2.4256144890038911E-2</v>
      </c>
      <c r="E11" s="69">
        <f>E5/E6-1</f>
        <v>3.2732130928523784E-2</v>
      </c>
      <c r="F11" s="69">
        <f>E6/E7-1</f>
        <v>-2.3164763458401239E-2</v>
      </c>
    </row>
    <row r="12" spans="1:12" x14ac:dyDescent="0.35">
      <c r="B12" s="47" t="s">
        <v>252</v>
      </c>
      <c r="C12" s="47"/>
      <c r="D12" s="69">
        <f>F4/F5-1</f>
        <v>8.4459459459459429E-2</v>
      </c>
      <c r="E12" s="69">
        <f>F5/F6-1</f>
        <v>5.8252427184464217E-3</v>
      </c>
      <c r="F12" s="69">
        <f>F6/F7-1</f>
        <v>1.4778325123152802E-2</v>
      </c>
    </row>
    <row r="14" spans="1:12" x14ac:dyDescent="0.35">
      <c r="B14" s="48" t="s">
        <v>259</v>
      </c>
      <c r="C14" s="48"/>
      <c r="D14" s="48" t="s">
        <v>261</v>
      </c>
      <c r="E14" s="48" t="s">
        <v>262</v>
      </c>
      <c r="F14" s="48" t="s">
        <v>260</v>
      </c>
    </row>
    <row r="15" spans="1:12" x14ac:dyDescent="0.35">
      <c r="B15" s="47" t="s">
        <v>253</v>
      </c>
      <c r="C15" s="47"/>
      <c r="D15" s="47">
        <v>31.97</v>
      </c>
      <c r="E15" s="78">
        <v>232140</v>
      </c>
      <c r="F15" s="78">
        <f>E15/D15*1</f>
        <v>7261.1823584610574</v>
      </c>
    </row>
    <row r="16" spans="1:12" x14ac:dyDescent="0.35">
      <c r="B16" s="47" t="s">
        <v>254</v>
      </c>
      <c r="C16" s="47"/>
      <c r="D16" s="47">
        <v>30.96</v>
      </c>
      <c r="E16" s="78">
        <v>218543</v>
      </c>
      <c r="F16" s="78">
        <f>E16/D16*1</f>
        <v>7058.8824289405684</v>
      </c>
    </row>
    <row r="17" spans="2:12" x14ac:dyDescent="0.35">
      <c r="B17" s="47" t="s">
        <v>255</v>
      </c>
      <c r="C17" s="47"/>
      <c r="D17" s="47">
        <v>29.39</v>
      </c>
      <c r="E17" s="78">
        <v>229170.78</v>
      </c>
      <c r="F17" s="78">
        <f>E17/D17*1</f>
        <v>7797.5767267778156</v>
      </c>
    </row>
    <row r="18" spans="2:12" x14ac:dyDescent="0.35">
      <c r="B18" s="47" t="s">
        <v>256</v>
      </c>
      <c r="C18" s="47"/>
      <c r="D18" s="47">
        <v>28.79</v>
      </c>
      <c r="E18" s="78">
        <v>206922.86000000002</v>
      </c>
      <c r="F18" s="78">
        <f>E18/D18*1</f>
        <v>7187.3171240013899</v>
      </c>
    </row>
    <row r="19" spans="2:12" x14ac:dyDescent="0.35">
      <c r="E19" s="71"/>
      <c r="F19" s="71"/>
    </row>
    <row r="20" spans="2:12" x14ac:dyDescent="0.35">
      <c r="B20" s="48" t="s">
        <v>263</v>
      </c>
      <c r="C20" s="48"/>
      <c r="D20" s="85" t="s">
        <v>237</v>
      </c>
      <c r="E20" s="85" t="s">
        <v>238</v>
      </c>
      <c r="F20" s="85" t="s">
        <v>239</v>
      </c>
      <c r="G20" s="85" t="s">
        <v>240</v>
      </c>
      <c r="H20" s="86" t="s">
        <v>241</v>
      </c>
      <c r="I20" s="86" t="s">
        <v>242</v>
      </c>
      <c r="J20" s="86" t="s">
        <v>243</v>
      </c>
      <c r="K20" s="86" t="s">
        <v>244</v>
      </c>
      <c r="L20" s="86" t="s">
        <v>315</v>
      </c>
    </row>
    <row r="21" spans="2:12" x14ac:dyDescent="0.35">
      <c r="B21" s="47" t="s">
        <v>264</v>
      </c>
      <c r="C21" s="47"/>
      <c r="D21" s="47">
        <f>D7</f>
        <v>28.79</v>
      </c>
      <c r="E21" s="47">
        <f>D6</f>
        <v>29.39</v>
      </c>
      <c r="F21" s="47">
        <f>D5</f>
        <v>30.96</v>
      </c>
      <c r="G21" s="47">
        <f>D4</f>
        <v>31.97</v>
      </c>
      <c r="H21" s="76">
        <f>G21*(1+H22)</f>
        <v>33.408649999999994</v>
      </c>
      <c r="I21" s="76">
        <f t="shared" ref="I21:L21" si="0">H21*(1+I22)</f>
        <v>35.145899799999995</v>
      </c>
      <c r="J21" s="76">
        <f t="shared" si="0"/>
        <v>36.727465290999994</v>
      </c>
      <c r="K21" s="76">
        <f t="shared" si="0"/>
        <v>38.196563902639994</v>
      </c>
      <c r="L21" s="76">
        <f t="shared" si="0"/>
        <v>39.724426458745597</v>
      </c>
    </row>
    <row r="22" spans="2:12" x14ac:dyDescent="0.35">
      <c r="B22" s="47" t="s">
        <v>265</v>
      </c>
      <c r="C22" s="47"/>
      <c r="D22" s="77">
        <v>0</v>
      </c>
      <c r="E22" s="69">
        <f>E21/D21-1</f>
        <v>2.0840569642236906E-2</v>
      </c>
      <c r="F22" s="69">
        <f t="shared" ref="F22:G22" si="1">F21/E21-1</f>
        <v>5.3419530452534891E-2</v>
      </c>
      <c r="G22" s="69">
        <f t="shared" si="1"/>
        <v>3.2622739018087765E-2</v>
      </c>
      <c r="H22" s="70">
        <f>Inputs!D11</f>
        <v>4.4999999999999998E-2</v>
      </c>
      <c r="I22" s="70">
        <f>Inputs!E11</f>
        <v>5.1999999999999998E-2</v>
      </c>
      <c r="J22" s="70">
        <f>Inputs!F11</f>
        <v>4.4999999999999998E-2</v>
      </c>
      <c r="K22" s="70">
        <f>Inputs!G11</f>
        <v>0.04</v>
      </c>
      <c r="L22" s="70">
        <f>Inputs!H11</f>
        <v>0.04</v>
      </c>
    </row>
    <row r="23" spans="2:12" x14ac:dyDescent="0.35">
      <c r="B23" s="47" t="s">
        <v>258</v>
      </c>
      <c r="C23" s="47"/>
      <c r="D23" s="78">
        <f>F18</f>
        <v>7187.3171240013899</v>
      </c>
      <c r="E23" s="78">
        <f>F17</f>
        <v>7797.5767267778156</v>
      </c>
      <c r="F23" s="78">
        <f>F16</f>
        <v>7058.8824289405684</v>
      </c>
      <c r="G23" s="78">
        <f>F15</f>
        <v>7261.1823584610574</v>
      </c>
      <c r="H23" s="78">
        <f>G23*(1+H24)</f>
        <v>7370.100093837973</v>
      </c>
      <c r="I23" s="78">
        <f t="shared" ref="I23:L23" si="2">H23*(1+I24)</f>
        <v>7443.8010947763523</v>
      </c>
      <c r="J23" s="78">
        <f t="shared" si="2"/>
        <v>7533.1267079136687</v>
      </c>
      <c r="K23" s="78">
        <f t="shared" si="2"/>
        <v>7608.4579749928052</v>
      </c>
      <c r="L23" s="78">
        <f t="shared" si="2"/>
        <v>7707.3679286677107</v>
      </c>
    </row>
    <row r="24" spans="2:12" x14ac:dyDescent="0.35">
      <c r="B24" s="47" t="s">
        <v>269</v>
      </c>
      <c r="C24" s="47"/>
      <c r="D24" s="77">
        <v>0</v>
      </c>
      <c r="E24" s="69">
        <f>E23/D23-1</f>
        <v>8.4907844227231744E-2</v>
      </c>
      <c r="F24" s="69">
        <f t="shared" ref="F24:G24" si="3">F23/E23-1</f>
        <v>-9.4733828690711341E-2</v>
      </c>
      <c r="G24" s="69">
        <f t="shared" si="3"/>
        <v>2.8658917549197804E-2</v>
      </c>
      <c r="H24" s="70">
        <f>Inputs!D19</f>
        <v>1.4999999999999999E-2</v>
      </c>
      <c r="I24" s="70">
        <f>Inputs!E19</f>
        <v>0.01</v>
      </c>
      <c r="J24" s="70">
        <f>Inputs!F19</f>
        <v>1.2E-2</v>
      </c>
      <c r="K24" s="70">
        <f>Inputs!G19</f>
        <v>0.01</v>
      </c>
      <c r="L24" s="70">
        <f>Inputs!H19</f>
        <v>1.2999999999999999E-2</v>
      </c>
    </row>
    <row r="25" spans="2:12" ht="6" customHeight="1" thickBot="1" x14ac:dyDescent="0.4">
      <c r="D25" s="67"/>
      <c r="E25" s="68"/>
      <c r="F25" s="68"/>
      <c r="G25" s="68"/>
      <c r="H25" s="5"/>
      <c r="I25" s="5"/>
      <c r="J25" s="5"/>
      <c r="K25" s="5"/>
      <c r="L25" s="5"/>
    </row>
    <row r="26" spans="2:12" ht="15" thickBot="1" x14ac:dyDescent="0.4">
      <c r="B26" s="87" t="s">
        <v>236</v>
      </c>
      <c r="C26" s="87"/>
      <c r="D26" s="88">
        <f>D21*D23</f>
        <v>206922.86000000002</v>
      </c>
      <c r="E26" s="88">
        <f t="shared" ref="E26:L26" si="4">E21*E23</f>
        <v>229170.78</v>
      </c>
      <c r="F26" s="88">
        <f t="shared" si="4"/>
        <v>218543</v>
      </c>
      <c r="G26" s="88">
        <f t="shared" si="4"/>
        <v>232140</v>
      </c>
      <c r="H26" s="88">
        <f t="shared" si="4"/>
        <v>246225.09449999995</v>
      </c>
      <c r="I26" s="88">
        <f t="shared" si="4"/>
        <v>261619.08740813995</v>
      </c>
      <c r="J26" s="88">
        <f t="shared" si="4"/>
        <v>276672.6496976043</v>
      </c>
      <c r="K26" s="88">
        <f t="shared" si="4"/>
        <v>290616.95124236355</v>
      </c>
      <c r="L26" s="88">
        <f t="shared" si="4"/>
        <v>306170.77047285484</v>
      </c>
    </row>
    <row r="27" spans="2:12" ht="15" thickTop="1" x14ac:dyDescent="0.35"/>
    <row r="28" spans="2:12" x14ac:dyDescent="0.35">
      <c r="B28" s="74" t="s">
        <v>266</v>
      </c>
      <c r="C28" s="75"/>
      <c r="D28" s="75"/>
      <c r="E28" s="75"/>
      <c r="F28" s="75"/>
      <c r="G28" s="75"/>
      <c r="H28" s="75"/>
    </row>
    <row r="29" spans="2:12" x14ac:dyDescent="0.35">
      <c r="B29" s="74" t="s">
        <v>267</v>
      </c>
      <c r="C29" s="75"/>
      <c r="D29" s="75"/>
      <c r="E29" s="75"/>
      <c r="F29" s="75"/>
      <c r="G29" s="75"/>
      <c r="H29" s="75"/>
    </row>
    <row r="30" spans="2:12" x14ac:dyDescent="0.35">
      <c r="B30" s="74" t="s">
        <v>268</v>
      </c>
      <c r="C30" s="75"/>
      <c r="D30" s="75"/>
      <c r="E30" s="75"/>
      <c r="F30" s="75"/>
      <c r="G30" s="75"/>
      <c r="H30" s="75"/>
    </row>
    <row r="33" spans="2:13" ht="21.5" thickBot="1" x14ac:dyDescent="0.55000000000000004">
      <c r="B33" s="241" t="s">
        <v>289</v>
      </c>
      <c r="C33" s="241"/>
      <c r="D33" s="241"/>
      <c r="E33" s="241"/>
      <c r="F33" s="241"/>
      <c r="G33" s="241"/>
      <c r="H33" s="241"/>
      <c r="I33" s="241"/>
      <c r="J33" s="241"/>
      <c r="K33" s="241"/>
      <c r="L33" s="241"/>
    </row>
    <row r="34" spans="2:13" x14ac:dyDescent="0.35">
      <c r="B34" t="s">
        <v>94</v>
      </c>
    </row>
    <row r="35" spans="2:13" x14ac:dyDescent="0.35">
      <c r="B35" s="48" t="s">
        <v>280</v>
      </c>
      <c r="C35" s="48"/>
      <c r="D35" s="85" t="s">
        <v>237</v>
      </c>
      <c r="E35" s="85" t="s">
        <v>238</v>
      </c>
      <c r="F35" s="85" t="s">
        <v>239</v>
      </c>
      <c r="G35" s="85" t="s">
        <v>240</v>
      </c>
      <c r="H35" s="86" t="s">
        <v>241</v>
      </c>
      <c r="I35" s="86" t="s">
        <v>242</v>
      </c>
      <c r="J35" s="86" t="s">
        <v>243</v>
      </c>
      <c r="K35" s="86" t="s">
        <v>244</v>
      </c>
      <c r="L35" s="86" t="s">
        <v>315</v>
      </c>
    </row>
    <row r="36" spans="2:13" x14ac:dyDescent="0.35">
      <c r="B36" t="s">
        <v>236</v>
      </c>
      <c r="D36" s="71">
        <f>D26</f>
        <v>206922.86000000002</v>
      </c>
      <c r="E36" s="71">
        <f t="shared" ref="E36:L36" si="5">E26</f>
        <v>229170.78</v>
      </c>
      <c r="F36" s="71">
        <f t="shared" si="5"/>
        <v>218543</v>
      </c>
      <c r="G36" s="71">
        <f t="shared" si="5"/>
        <v>232140</v>
      </c>
      <c r="H36" s="71">
        <f t="shared" si="5"/>
        <v>246225.09449999995</v>
      </c>
      <c r="I36" s="71">
        <f t="shared" si="5"/>
        <v>261619.08740813995</v>
      </c>
      <c r="J36" s="71">
        <f t="shared" si="5"/>
        <v>276672.6496976043</v>
      </c>
      <c r="K36" s="71">
        <f t="shared" si="5"/>
        <v>290616.95124236355</v>
      </c>
      <c r="L36" s="71">
        <f t="shared" si="5"/>
        <v>306170.77047285484</v>
      </c>
    </row>
    <row r="37" spans="2:13" ht="4.25" customHeight="1" x14ac:dyDescent="0.35">
      <c r="D37" s="71"/>
      <c r="E37" s="71"/>
      <c r="F37" s="71"/>
      <c r="G37" s="71"/>
      <c r="H37" s="71"/>
      <c r="I37" s="71"/>
      <c r="J37" s="71"/>
      <c r="K37" s="71"/>
      <c r="L37" s="71"/>
    </row>
    <row r="38" spans="2:13" x14ac:dyDescent="0.35">
      <c r="B38" s="94" t="s">
        <v>272</v>
      </c>
      <c r="C38" s="47"/>
      <c r="D38" s="95">
        <v>0.47870000000000001</v>
      </c>
      <c r="E38" s="95">
        <v>0.36020000000000002</v>
      </c>
      <c r="F38" s="95">
        <v>0.35260000000000002</v>
      </c>
      <c r="G38" s="95">
        <v>0.32079999999999997</v>
      </c>
      <c r="H38" s="96">
        <f>Inputs!D27</f>
        <v>0.61199999999999999</v>
      </c>
      <c r="I38" s="96">
        <f>Inputs!E27</f>
        <v>0.61</v>
      </c>
      <c r="J38" s="96">
        <f>Inputs!F27</f>
        <v>0.60799999999999998</v>
      </c>
      <c r="K38" s="96">
        <f>Inputs!G27</f>
        <v>0.60599999999999998</v>
      </c>
      <c r="L38" s="96">
        <f>Inputs!H27</f>
        <v>0.60499999999999998</v>
      </c>
      <c r="M38" s="91"/>
    </row>
    <row r="39" spans="2:13" x14ac:dyDescent="0.35">
      <c r="B39" s="47" t="s">
        <v>273</v>
      </c>
      <c r="C39" s="47"/>
      <c r="D39" s="95">
        <v>0.1226</v>
      </c>
      <c r="E39" s="95">
        <v>0.13800000000000001</v>
      </c>
      <c r="F39" s="95">
        <v>0.14199999999999999</v>
      </c>
      <c r="G39" s="95">
        <v>0.14019999999999999</v>
      </c>
      <c r="H39" s="96">
        <v>0.13900000000000001</v>
      </c>
      <c r="I39" s="96">
        <v>0.13800000000000001</v>
      </c>
      <c r="J39" s="96">
        <v>0.13700000000000001</v>
      </c>
      <c r="K39" s="96">
        <v>0.13600000000000001</v>
      </c>
      <c r="L39" s="96">
        <v>0.13500000000000001</v>
      </c>
      <c r="M39" s="90"/>
    </row>
    <row r="40" spans="2:13" x14ac:dyDescent="0.35">
      <c r="B40" s="94" t="s">
        <v>271</v>
      </c>
      <c r="C40" s="47"/>
      <c r="D40" s="95">
        <v>3.3300000000000003E-2</v>
      </c>
      <c r="E40" s="95">
        <v>4.3999999999999997E-2</v>
      </c>
      <c r="F40" s="95">
        <v>3.9100000000000003E-2</v>
      </c>
      <c r="G40" s="95">
        <v>6.2199999999999998E-2</v>
      </c>
      <c r="H40" s="96">
        <v>6.0999999999999999E-2</v>
      </c>
      <c r="I40" s="96">
        <v>0.06</v>
      </c>
      <c r="J40" s="96">
        <v>5.8999999999999997E-2</v>
      </c>
      <c r="K40" s="96">
        <v>5.8000000000000003E-2</v>
      </c>
      <c r="L40" s="96">
        <v>5.7000000000000002E-2</v>
      </c>
    </row>
    <row r="41" spans="2:13" x14ac:dyDescent="0.35">
      <c r="B41" s="94" t="s">
        <v>274</v>
      </c>
      <c r="C41" s="47"/>
      <c r="D41" s="95">
        <v>2.8400000000000002E-2</v>
      </c>
      <c r="E41" s="95">
        <v>2.9600000000000001E-2</v>
      </c>
      <c r="F41" s="95">
        <v>2.4400000000000002E-2</v>
      </c>
      <c r="G41" s="95">
        <v>2.4500000000000001E-2</v>
      </c>
      <c r="H41" s="96">
        <v>2.4E-2</v>
      </c>
      <c r="I41" s="96">
        <v>2.4E-2</v>
      </c>
      <c r="J41" s="96">
        <v>2.3E-2</v>
      </c>
      <c r="K41" s="96">
        <v>2.3E-2</v>
      </c>
      <c r="L41" s="96">
        <v>2.1999999999999999E-2</v>
      </c>
    </row>
    <row r="42" spans="2:13" x14ac:dyDescent="0.35">
      <c r="B42" s="94" t="s">
        <v>275</v>
      </c>
      <c r="C42" s="47"/>
      <c r="D42" s="95">
        <v>5.1900000000000002E-2</v>
      </c>
      <c r="E42" s="95">
        <v>5.6399999999999999E-2</v>
      </c>
      <c r="F42" s="95">
        <v>6.25E-2</v>
      </c>
      <c r="G42" s="95">
        <v>6.0100000000000001E-2</v>
      </c>
      <c r="H42" s="96">
        <v>0.06</v>
      </c>
      <c r="I42" s="96">
        <v>5.8999999999999997E-2</v>
      </c>
      <c r="J42" s="96">
        <v>5.8000000000000003E-2</v>
      </c>
      <c r="K42" s="96">
        <v>5.7000000000000002E-2</v>
      </c>
      <c r="L42" s="96">
        <v>5.6000000000000001E-2</v>
      </c>
    </row>
    <row r="43" spans="2:13" x14ac:dyDescent="0.35">
      <c r="B43" s="94" t="s">
        <v>276</v>
      </c>
      <c r="C43" s="47"/>
      <c r="D43" s="95">
        <v>0.71489999999999998</v>
      </c>
      <c r="E43" s="95">
        <v>0.62819999999999998</v>
      </c>
      <c r="F43" s="95">
        <v>0.62060000000000004</v>
      </c>
      <c r="G43" s="95">
        <v>0.60780000000000001</v>
      </c>
      <c r="H43" s="96">
        <v>0.59899999999999998</v>
      </c>
      <c r="I43" s="96">
        <v>0.59299999999999997</v>
      </c>
      <c r="J43" s="96">
        <v>0.58699999999999997</v>
      </c>
      <c r="K43" s="96">
        <v>0.58199999999999996</v>
      </c>
      <c r="L43" s="96">
        <v>0.57499999999999996</v>
      </c>
    </row>
    <row r="44" spans="2:13" x14ac:dyDescent="0.35">
      <c r="B44" s="97"/>
      <c r="D44" s="98"/>
      <c r="E44" s="98"/>
      <c r="F44" s="98"/>
      <c r="G44" s="98"/>
      <c r="H44" s="99"/>
      <c r="I44" s="99"/>
      <c r="J44" s="99"/>
      <c r="K44" s="99"/>
      <c r="L44" s="99"/>
    </row>
    <row r="45" spans="2:13" x14ac:dyDescent="0.35">
      <c r="B45" s="74" t="s">
        <v>266</v>
      </c>
      <c r="C45" s="75"/>
      <c r="D45" s="75"/>
      <c r="E45" s="75"/>
      <c r="F45" s="75"/>
      <c r="G45" s="74"/>
      <c r="H45" s="74"/>
      <c r="I45" s="99"/>
      <c r="J45" s="99"/>
      <c r="K45" s="99"/>
      <c r="L45" s="99"/>
    </row>
    <row r="46" spans="2:13" x14ac:dyDescent="0.35">
      <c r="B46" s="74" t="s">
        <v>282</v>
      </c>
      <c r="C46" s="75"/>
      <c r="D46" s="75"/>
      <c r="E46" s="75"/>
      <c r="F46" s="75"/>
      <c r="G46" s="74"/>
      <c r="H46" s="74"/>
      <c r="I46" s="99"/>
      <c r="J46" s="99"/>
      <c r="K46" s="99"/>
      <c r="L46" s="99"/>
    </row>
    <row r="47" spans="2:13" x14ac:dyDescent="0.35">
      <c r="B47" s="74" t="s">
        <v>283</v>
      </c>
      <c r="C47" s="74"/>
      <c r="D47" s="74"/>
      <c r="E47" s="74"/>
      <c r="F47" s="74"/>
      <c r="G47" s="74"/>
      <c r="H47" s="74"/>
      <c r="I47" s="99"/>
      <c r="J47" s="99"/>
      <c r="K47" s="99"/>
      <c r="L47" s="99"/>
    </row>
    <row r="48" spans="2:13" x14ac:dyDescent="0.35">
      <c r="B48" s="74" t="s">
        <v>284</v>
      </c>
      <c r="C48" s="74"/>
      <c r="D48" s="74"/>
      <c r="E48" s="74"/>
      <c r="F48" s="74"/>
      <c r="G48" s="74"/>
      <c r="H48" s="74"/>
      <c r="I48" s="99"/>
      <c r="J48" s="99"/>
      <c r="K48" s="99"/>
      <c r="L48" s="99"/>
    </row>
    <row r="49" spans="2:13" x14ac:dyDescent="0.35">
      <c r="B49" s="74" t="s">
        <v>285</v>
      </c>
      <c r="C49" s="74"/>
      <c r="D49" s="74"/>
      <c r="E49" s="74"/>
      <c r="F49" s="74"/>
      <c r="G49" s="74"/>
      <c r="H49" s="74"/>
      <c r="I49" s="99"/>
      <c r="J49" s="99"/>
      <c r="K49" s="99"/>
      <c r="L49" s="99"/>
    </row>
    <row r="50" spans="2:13" x14ac:dyDescent="0.35">
      <c r="B50" s="74" t="s">
        <v>286</v>
      </c>
      <c r="C50" s="74"/>
      <c r="D50" s="74"/>
      <c r="E50" s="74"/>
      <c r="F50" s="74"/>
      <c r="G50" s="74"/>
      <c r="H50" s="74"/>
      <c r="I50" s="99"/>
      <c r="J50" s="99"/>
      <c r="K50" s="99"/>
      <c r="L50" s="99"/>
    </row>
    <row r="52" spans="2:13" x14ac:dyDescent="0.35">
      <c r="B52" t="s">
        <v>94</v>
      </c>
      <c r="D52" s="68"/>
      <c r="E52" s="73"/>
      <c r="F52" s="92"/>
      <c r="G52" s="90"/>
      <c r="H52" s="90"/>
    </row>
    <row r="53" spans="2:13" x14ac:dyDescent="0.35">
      <c r="B53" s="48" t="s">
        <v>281</v>
      </c>
      <c r="C53" s="48"/>
      <c r="D53" s="85" t="s">
        <v>237</v>
      </c>
      <c r="E53" s="85" t="s">
        <v>238</v>
      </c>
      <c r="F53" s="85" t="s">
        <v>239</v>
      </c>
      <c r="G53" s="85" t="s">
        <v>240</v>
      </c>
      <c r="H53" s="86" t="s">
        <v>241</v>
      </c>
      <c r="I53" s="86" t="s">
        <v>242</v>
      </c>
      <c r="J53" s="86" t="s">
        <v>243</v>
      </c>
      <c r="K53" s="86" t="s">
        <v>244</v>
      </c>
      <c r="L53" s="86" t="s">
        <v>315</v>
      </c>
    </row>
    <row r="54" spans="2:13" ht="4.25" customHeight="1" x14ac:dyDescent="0.35"/>
    <row r="55" spans="2:13" x14ac:dyDescent="0.35">
      <c r="B55" s="94" t="s">
        <v>277</v>
      </c>
      <c r="C55" s="47"/>
      <c r="D55" s="95">
        <v>9.2100000000000001E-2</v>
      </c>
      <c r="E55" s="95">
        <v>0.1071</v>
      </c>
      <c r="F55" s="95">
        <v>0.1139</v>
      </c>
      <c r="G55" s="95">
        <v>0.112</v>
      </c>
      <c r="H55" s="96">
        <v>0.111</v>
      </c>
      <c r="I55" s="96">
        <v>0.11</v>
      </c>
      <c r="J55" s="96">
        <v>0.109</v>
      </c>
      <c r="K55" s="96">
        <v>0.108</v>
      </c>
      <c r="L55" s="96">
        <v>0.107</v>
      </c>
      <c r="M55" s="93"/>
    </row>
    <row r="56" spans="2:13" x14ac:dyDescent="0.35">
      <c r="B56" s="47" t="s">
        <v>278</v>
      </c>
      <c r="C56" s="47"/>
      <c r="D56" s="95">
        <v>3.6499999999999998E-2</v>
      </c>
      <c r="E56" s="95">
        <v>4.6899999999999997E-2</v>
      </c>
      <c r="F56" s="95">
        <v>4.9099999999999998E-2</v>
      </c>
      <c r="G56" s="95">
        <v>5.9700000000000003E-2</v>
      </c>
      <c r="H56" s="96">
        <f>Inputs!D34</f>
        <v>6.3E-2</v>
      </c>
      <c r="I56" s="96">
        <f>Inputs!E34</f>
        <v>6.2E-2</v>
      </c>
      <c r="J56" s="96">
        <f>Inputs!F34</f>
        <v>6.0999999999999999E-2</v>
      </c>
      <c r="K56" s="96">
        <f>Inputs!G34</f>
        <v>0.06</v>
      </c>
      <c r="L56" s="96">
        <f>Inputs!H34</f>
        <v>5.8999999999999997E-2</v>
      </c>
    </row>
    <row r="57" spans="2:13" x14ac:dyDescent="0.35">
      <c r="B57" s="94" t="s">
        <v>279</v>
      </c>
      <c r="C57" s="47"/>
      <c r="D57" s="95">
        <v>0.12859999999999999</v>
      </c>
      <c r="E57" s="95">
        <v>0.154</v>
      </c>
      <c r="F57" s="95">
        <v>0.16300000000000001</v>
      </c>
      <c r="G57" s="95">
        <v>0.17169999999999999</v>
      </c>
      <c r="H57" s="96">
        <v>0.16900000000000001</v>
      </c>
      <c r="I57" s="96">
        <v>0.16700000000000001</v>
      </c>
      <c r="J57" s="96">
        <v>0.16500000000000001</v>
      </c>
      <c r="K57" s="96">
        <v>0.16300000000000001</v>
      </c>
      <c r="L57" s="96">
        <v>0.161</v>
      </c>
    </row>
    <row r="58" spans="2:13" x14ac:dyDescent="0.35">
      <c r="B58" s="20"/>
      <c r="D58" s="71"/>
      <c r="E58" s="89"/>
    </row>
    <row r="59" spans="2:13" x14ac:dyDescent="0.35">
      <c r="B59" s="74" t="s">
        <v>266</v>
      </c>
      <c r="C59" s="75"/>
      <c r="D59" s="75"/>
      <c r="E59" s="75"/>
      <c r="F59" s="75"/>
      <c r="G59" s="74"/>
      <c r="H59" s="74"/>
    </row>
    <row r="60" spans="2:13" x14ac:dyDescent="0.35">
      <c r="B60" s="74" t="s">
        <v>287</v>
      </c>
      <c r="C60" s="75"/>
      <c r="D60" s="75"/>
      <c r="E60" s="75"/>
      <c r="F60" s="75"/>
      <c r="G60" s="74"/>
      <c r="H60" s="74"/>
    </row>
    <row r="61" spans="2:13" x14ac:dyDescent="0.35">
      <c r="B61" s="74" t="s">
        <v>288</v>
      </c>
      <c r="C61" s="74"/>
      <c r="D61" s="74"/>
      <c r="E61" s="74"/>
      <c r="F61" s="74"/>
      <c r="G61" s="74"/>
      <c r="H61" s="74"/>
    </row>
    <row r="64" spans="2:13" ht="21.5" thickBot="1" x14ac:dyDescent="0.55000000000000004">
      <c r="B64" s="241" t="s">
        <v>290</v>
      </c>
      <c r="C64" s="241"/>
      <c r="D64" s="241"/>
      <c r="E64" s="241"/>
      <c r="F64" s="241"/>
      <c r="G64" s="241"/>
      <c r="H64" s="241"/>
      <c r="I64" s="241"/>
      <c r="J64" s="241"/>
      <c r="K64" s="241"/>
      <c r="L64" s="241"/>
    </row>
    <row r="65" spans="2:12" x14ac:dyDescent="0.35">
      <c r="B65" t="s">
        <v>94</v>
      </c>
      <c r="D65" s="71"/>
      <c r="E65" s="89"/>
    </row>
    <row r="66" spans="2:12" ht="29" x14ac:dyDescent="0.35">
      <c r="B66" s="84" t="s">
        <v>290</v>
      </c>
      <c r="C66" s="48"/>
      <c r="D66" s="85" t="s">
        <v>237</v>
      </c>
      <c r="E66" s="85" t="s">
        <v>238</v>
      </c>
      <c r="F66" s="85" t="s">
        <v>239</v>
      </c>
      <c r="G66" s="85" t="s">
        <v>240</v>
      </c>
      <c r="H66" s="86" t="s">
        <v>241</v>
      </c>
      <c r="I66" s="86" t="s">
        <v>242</v>
      </c>
      <c r="J66" s="86" t="s">
        <v>243</v>
      </c>
      <c r="K66" s="86" t="s">
        <v>244</v>
      </c>
      <c r="L66" s="86" t="s">
        <v>315</v>
      </c>
    </row>
    <row r="67" spans="2:12" ht="4.25" customHeight="1" x14ac:dyDescent="0.35"/>
    <row r="68" spans="2:12" x14ac:dyDescent="0.35">
      <c r="B68" s="47" t="s">
        <v>291</v>
      </c>
      <c r="C68" s="47"/>
      <c r="D68" s="78">
        <v>116166.46</v>
      </c>
      <c r="E68" s="78">
        <f>D71</f>
        <v>120646.05</v>
      </c>
      <c r="F68" s="78">
        <f t="shared" ref="F68:L68" si="6">E71</f>
        <v>128495.09</v>
      </c>
      <c r="G68" s="78">
        <f t="shared" si="6"/>
        <v>133744.28</v>
      </c>
      <c r="H68" s="78">
        <f t="shared" si="6"/>
        <v>135815.51999999999</v>
      </c>
      <c r="I68" s="78">
        <f t="shared" si="6"/>
        <v>139262.67132299999</v>
      </c>
      <c r="J68" s="78">
        <f t="shared" si="6"/>
        <v>142532.90991560172</v>
      </c>
      <c r="K68" s="78">
        <f t="shared" si="6"/>
        <v>145576.30906227537</v>
      </c>
      <c r="L68" s="78">
        <f t="shared" si="6"/>
        <v>148337.1700990778</v>
      </c>
    </row>
    <row r="69" spans="2:12" x14ac:dyDescent="0.35">
      <c r="B69" s="47" t="s">
        <v>292</v>
      </c>
      <c r="C69" s="47"/>
      <c r="D69" s="78">
        <f>14142.49-327.7</f>
        <v>13814.789999999999</v>
      </c>
      <c r="E69" s="78">
        <f>18206.6-475.4</f>
        <v>17731.199999999997</v>
      </c>
      <c r="F69" s="78">
        <v>15670.52</v>
      </c>
      <c r="G69" s="78">
        <f>14559.05-533.3</f>
        <v>14025.75</v>
      </c>
      <c r="H69" s="78">
        <f>H72*H36</f>
        <v>16497.081331499998</v>
      </c>
      <c r="I69" s="78">
        <f>I72*I36</f>
        <v>17266.859768937236</v>
      </c>
      <c r="J69" s="78">
        <f>J72*J36</f>
        <v>17983.72223034428</v>
      </c>
      <c r="K69" s="78">
        <f>K72*K36</f>
        <v>18599.484879511267</v>
      </c>
      <c r="L69" s="78">
        <f>L72*L36</f>
        <v>19288.758539789855</v>
      </c>
    </row>
    <row r="70" spans="2:12" x14ac:dyDescent="0.35">
      <c r="B70" s="47" t="s">
        <v>293</v>
      </c>
      <c r="C70" s="47"/>
      <c r="D70" s="78">
        <v>9335.2000000000007</v>
      </c>
      <c r="E70" s="78">
        <f>9882.16</f>
        <v>9882.16</v>
      </c>
      <c r="F70" s="78">
        <v>10421.33</v>
      </c>
      <c r="G70" s="78">
        <v>11954.51</v>
      </c>
      <c r="H70" s="78">
        <f>H73*H36</f>
        <v>13049.930008499998</v>
      </c>
      <c r="I70" s="78">
        <f>I73*I36</f>
        <v>13996.621176335488</v>
      </c>
      <c r="J70" s="78">
        <f>J73*J36</f>
        <v>14940.323083670632</v>
      </c>
      <c r="K70" s="78">
        <f>K73*K36</f>
        <v>15838.623842708814</v>
      </c>
      <c r="L70" s="78">
        <f>L73*L36</f>
        <v>16839.392376007017</v>
      </c>
    </row>
    <row r="71" spans="2:12" x14ac:dyDescent="0.35">
      <c r="B71" s="47" t="s">
        <v>294</v>
      </c>
      <c r="C71" s="47"/>
      <c r="D71" s="78">
        <f>D68+D69-D70</f>
        <v>120646.05</v>
      </c>
      <c r="E71" s="78">
        <f t="shared" ref="E71:L71" si="7">E68+E69-E70</f>
        <v>128495.09</v>
      </c>
      <c r="F71" s="78">
        <f t="shared" si="7"/>
        <v>133744.28</v>
      </c>
      <c r="G71" s="78">
        <f t="shared" si="7"/>
        <v>135815.51999999999</v>
      </c>
      <c r="H71" s="78">
        <f t="shared" si="7"/>
        <v>139262.67132299999</v>
      </c>
      <c r="I71" s="78">
        <f t="shared" si="7"/>
        <v>142532.90991560172</v>
      </c>
      <c r="J71" s="78">
        <f t="shared" si="7"/>
        <v>145576.30906227537</v>
      </c>
      <c r="K71" s="78">
        <f t="shared" si="7"/>
        <v>148337.1700990778</v>
      </c>
      <c r="L71" s="78">
        <f t="shared" si="7"/>
        <v>150786.53626286064</v>
      </c>
    </row>
    <row r="72" spans="2:12" x14ac:dyDescent="0.35">
      <c r="B72" s="47" t="s">
        <v>295</v>
      </c>
      <c r="C72" s="47"/>
      <c r="D72" s="69">
        <f>D69/D36</f>
        <v>6.6762995640017725E-2</v>
      </c>
      <c r="E72" s="69">
        <f>E69/E36</f>
        <v>7.7371120349636183E-2</v>
      </c>
      <c r="F72" s="69">
        <f>F69/F36</f>
        <v>7.1704515816109413E-2</v>
      </c>
      <c r="G72" s="69">
        <f>G69/G36</f>
        <v>6.0419359007495475E-2</v>
      </c>
      <c r="H72" s="100">
        <f>Inputs!D41</f>
        <v>6.7000000000000004E-2</v>
      </c>
      <c r="I72" s="100">
        <f>Inputs!E41</f>
        <v>6.6000000000000003E-2</v>
      </c>
      <c r="J72" s="100">
        <f>Inputs!F41</f>
        <v>6.5000000000000002E-2</v>
      </c>
      <c r="K72" s="100">
        <f>Inputs!G41</f>
        <v>6.4000000000000001E-2</v>
      </c>
      <c r="L72" s="100">
        <f>Inputs!H41</f>
        <v>6.3E-2</v>
      </c>
    </row>
    <row r="73" spans="2:12" x14ac:dyDescent="0.35">
      <c r="B73" s="47" t="s">
        <v>296</v>
      </c>
      <c r="C73" s="47"/>
      <c r="D73" s="69">
        <f>D70/D36</f>
        <v>4.5114396737025574E-2</v>
      </c>
      <c r="E73" s="69">
        <f>E70/E36</f>
        <v>4.3121378737725639E-2</v>
      </c>
      <c r="F73" s="69">
        <f>F70/F36</f>
        <v>4.7685489812073593E-2</v>
      </c>
      <c r="G73" s="69">
        <f>G70/G36</f>
        <v>5.1496984578271732E-2</v>
      </c>
      <c r="H73" s="100">
        <f>Inputs!D48</f>
        <v>5.2999999999999999E-2</v>
      </c>
      <c r="I73" s="100">
        <f>Inputs!E48</f>
        <v>5.3499999999999999E-2</v>
      </c>
      <c r="J73" s="100">
        <f>Inputs!F48</f>
        <v>5.3999999999999999E-2</v>
      </c>
      <c r="K73" s="100">
        <f>Inputs!G48</f>
        <v>5.45E-2</v>
      </c>
      <c r="L73" s="100">
        <f>Inputs!H48</f>
        <v>5.5E-2</v>
      </c>
    </row>
    <row r="75" spans="2:12" x14ac:dyDescent="0.35">
      <c r="B75" s="74" t="s">
        <v>266</v>
      </c>
      <c r="C75" s="75" t="s">
        <v>504</v>
      </c>
      <c r="D75" s="75"/>
      <c r="E75" s="75"/>
      <c r="F75" s="75"/>
      <c r="G75" s="74"/>
      <c r="H75" s="74"/>
    </row>
    <row r="76" spans="2:12" x14ac:dyDescent="0.35">
      <c r="B76" s="74" t="s">
        <v>297</v>
      </c>
      <c r="C76" s="75"/>
      <c r="D76" s="75"/>
      <c r="E76" s="75"/>
      <c r="F76" s="75"/>
      <c r="G76" s="74"/>
      <c r="H76" s="74"/>
    </row>
    <row r="77" spans="2:12" x14ac:dyDescent="0.35">
      <c r="B77" s="74" t="s">
        <v>298</v>
      </c>
      <c r="C77" s="74"/>
      <c r="D77" s="74"/>
      <c r="E77" s="74"/>
      <c r="F77" s="74"/>
      <c r="G77" s="74"/>
      <c r="H77" s="74"/>
    </row>
    <row r="80" spans="2:12" ht="21.5" thickBot="1" x14ac:dyDescent="0.55000000000000004">
      <c r="B80" s="241" t="s">
        <v>246</v>
      </c>
      <c r="C80" s="241"/>
      <c r="D80" s="241"/>
      <c r="E80" s="241"/>
      <c r="F80" s="241"/>
      <c r="G80" s="241"/>
      <c r="H80" s="241"/>
      <c r="I80" s="241"/>
      <c r="J80" s="241"/>
      <c r="K80" s="241"/>
      <c r="L80" s="241"/>
    </row>
    <row r="81" spans="2:12" x14ac:dyDescent="0.35">
      <c r="B81" t="s">
        <v>94</v>
      </c>
      <c r="D81" s="71"/>
      <c r="E81" s="89"/>
    </row>
    <row r="82" spans="2:12" x14ac:dyDescent="0.35">
      <c r="B82" s="84" t="s">
        <v>246</v>
      </c>
      <c r="C82" s="48"/>
      <c r="D82" s="85" t="s">
        <v>237</v>
      </c>
      <c r="E82" s="85" t="s">
        <v>238</v>
      </c>
      <c r="F82" s="85" t="s">
        <v>239</v>
      </c>
      <c r="G82" s="85" t="s">
        <v>240</v>
      </c>
      <c r="H82" s="86" t="s">
        <v>241</v>
      </c>
      <c r="I82" s="86" t="s">
        <v>242</v>
      </c>
      <c r="J82" s="86" t="s">
        <v>243</v>
      </c>
      <c r="K82" s="86" t="s">
        <v>244</v>
      </c>
      <c r="L82" s="86" t="s">
        <v>315</v>
      </c>
    </row>
    <row r="83" spans="2:12" ht="3.65" customHeight="1" x14ac:dyDescent="0.35"/>
    <row r="84" spans="2:12" x14ac:dyDescent="0.35">
      <c r="B84" s="47" t="s">
        <v>126</v>
      </c>
      <c r="C84" s="47"/>
      <c r="D84" s="78">
        <f t="shared" ref="D84:L84" si="8">D36</f>
        <v>206922.86000000002</v>
      </c>
      <c r="E84" s="78">
        <f t="shared" si="8"/>
        <v>229170.78</v>
      </c>
      <c r="F84" s="78">
        <f t="shared" si="8"/>
        <v>218543</v>
      </c>
      <c r="G84" s="78">
        <f t="shared" si="8"/>
        <v>232140</v>
      </c>
      <c r="H84" s="78">
        <f t="shared" si="8"/>
        <v>246225.09449999995</v>
      </c>
      <c r="I84" s="78">
        <f t="shared" si="8"/>
        <v>261619.08740813995</v>
      </c>
      <c r="J84" s="78">
        <f t="shared" si="8"/>
        <v>276672.6496976043</v>
      </c>
      <c r="K84" s="78">
        <f t="shared" si="8"/>
        <v>290616.95124236355</v>
      </c>
      <c r="L84" s="78">
        <f t="shared" si="8"/>
        <v>306170.77047285484</v>
      </c>
    </row>
    <row r="85" spans="2:12" x14ac:dyDescent="0.35">
      <c r="B85" s="47" t="s">
        <v>245</v>
      </c>
      <c r="C85" s="47"/>
      <c r="D85" s="78">
        <f t="shared" ref="D85:L85" si="9">D43*D36</f>
        <v>147929.15261400002</v>
      </c>
      <c r="E85" s="78">
        <f t="shared" si="9"/>
        <v>143965.083996</v>
      </c>
      <c r="F85" s="78">
        <f t="shared" si="9"/>
        <v>135627.78580000001</v>
      </c>
      <c r="G85" s="78">
        <f t="shared" si="9"/>
        <v>141094.69200000001</v>
      </c>
      <c r="H85" s="78">
        <f t="shared" si="9"/>
        <v>147488.83160549996</v>
      </c>
      <c r="I85" s="78">
        <f t="shared" si="9"/>
        <v>155140.11883302699</v>
      </c>
      <c r="J85" s="78">
        <f t="shared" si="9"/>
        <v>162406.84537249373</v>
      </c>
      <c r="K85" s="78">
        <f t="shared" si="9"/>
        <v>169139.06562305556</v>
      </c>
      <c r="L85" s="78">
        <f t="shared" si="9"/>
        <v>176048.19302189152</v>
      </c>
    </row>
    <row r="86" spans="2:12" x14ac:dyDescent="0.35">
      <c r="B86" s="47" t="s">
        <v>202</v>
      </c>
      <c r="C86" s="47"/>
      <c r="D86" s="78">
        <v>8257.24</v>
      </c>
      <c r="E86" s="78">
        <v>6263.53</v>
      </c>
      <c r="F86" s="78">
        <v>5260.06</v>
      </c>
      <c r="G86" s="78">
        <v>4916.8900000000003</v>
      </c>
      <c r="H86" s="78">
        <f>H94/365*H84</f>
        <v>6745.8929999999982</v>
      </c>
      <c r="I86" s="78">
        <f t="shared" ref="I86:L86" si="10">I94/365*I84</f>
        <v>7167.6462303599983</v>
      </c>
      <c r="J86" s="78">
        <f t="shared" si="10"/>
        <v>7580.0725944549122</v>
      </c>
      <c r="K86" s="78">
        <f t="shared" si="10"/>
        <v>7962.1082532154396</v>
      </c>
      <c r="L86" s="78">
        <f t="shared" si="10"/>
        <v>8388.2402869275302</v>
      </c>
    </row>
    <row r="87" spans="2:12" x14ac:dyDescent="0.35">
      <c r="B87" s="47" t="s">
        <v>45</v>
      </c>
      <c r="C87" s="47"/>
      <c r="D87" s="78">
        <v>54415.33</v>
      </c>
      <c r="E87" s="78">
        <v>49157.51</v>
      </c>
      <c r="F87" s="78">
        <v>44589.94</v>
      </c>
      <c r="G87" s="78">
        <v>47249.22</v>
      </c>
      <c r="H87" s="78">
        <f>H95/365*H85</f>
        <v>50509.873837499981</v>
      </c>
      <c r="I87" s="78">
        <f t="shared" ref="I87:L87" si="11">I95/365*I85</f>
        <v>53130.177682543486</v>
      </c>
      <c r="J87" s="78">
        <f t="shared" si="11"/>
        <v>56063.732923107425</v>
      </c>
      <c r="K87" s="78">
        <f t="shared" si="11"/>
        <v>58387.732242479455</v>
      </c>
      <c r="L87" s="78">
        <f t="shared" si="11"/>
        <v>61255.124695288287</v>
      </c>
    </row>
    <row r="88" spans="2:12" x14ac:dyDescent="0.35">
      <c r="B88" s="47" t="s">
        <v>205</v>
      </c>
      <c r="C88" s="47"/>
      <c r="D88" s="78">
        <v>37832.54</v>
      </c>
      <c r="E88" s="78">
        <v>35434.660000000003</v>
      </c>
      <c r="F88" s="78">
        <v>29314.38</v>
      </c>
      <c r="G88" s="78">
        <v>34810.14</v>
      </c>
      <c r="H88" s="78">
        <f>H96/365*H85</f>
        <v>35558.951181599994</v>
      </c>
      <c r="I88" s="78">
        <f t="shared" ref="I88:L88" si="12">I96/365*I85</f>
        <v>37403.645088510617</v>
      </c>
      <c r="J88" s="78">
        <f t="shared" si="12"/>
        <v>38710.672732621788</v>
      </c>
      <c r="K88" s="78">
        <f t="shared" si="12"/>
        <v>40315.338929331054</v>
      </c>
      <c r="L88" s="78">
        <f t="shared" si="12"/>
        <v>41479.848218856634</v>
      </c>
    </row>
    <row r="89" spans="2:12" x14ac:dyDescent="0.35">
      <c r="B89" s="47" t="s">
        <v>206</v>
      </c>
      <c r="C89" s="47"/>
      <c r="D89" s="78">
        <f>D86+D87-D88</f>
        <v>24840.03</v>
      </c>
      <c r="E89" s="78">
        <f t="shared" ref="E89:G89" si="13">E86+E87-E88</f>
        <v>19986.379999999997</v>
      </c>
      <c r="F89" s="78">
        <f t="shared" si="13"/>
        <v>20535.62</v>
      </c>
      <c r="G89" s="78">
        <f t="shared" si="13"/>
        <v>17355.97</v>
      </c>
      <c r="H89" s="78">
        <f t="shared" ref="H89" si="14">H86+H87-H88</f>
        <v>21696.815655899984</v>
      </c>
      <c r="I89" s="78">
        <f t="shared" ref="I89" si="15">I86+I87-I88</f>
        <v>22894.178824392868</v>
      </c>
      <c r="J89" s="78">
        <f t="shared" ref="J89" si="16">J86+J87-J88</f>
        <v>24933.13278494055</v>
      </c>
      <c r="K89" s="78">
        <f t="shared" ref="K89" si="17">K86+K87-K88</f>
        <v>26034.501566363841</v>
      </c>
      <c r="L89" s="78">
        <f t="shared" ref="L89" si="18">L86+L87-L88</f>
        <v>28163.516763359185</v>
      </c>
    </row>
    <row r="90" spans="2:12" x14ac:dyDescent="0.35">
      <c r="B90" s="47" t="s">
        <v>299</v>
      </c>
      <c r="C90" s="47"/>
      <c r="D90" s="78" t="s">
        <v>304</v>
      </c>
      <c r="E90" s="78">
        <f>E89-D89</f>
        <v>-4853.6500000000015</v>
      </c>
      <c r="F90" s="78">
        <f t="shared" ref="F90:G90" si="19">F89-E89</f>
        <v>549.2400000000016</v>
      </c>
      <c r="G90" s="78">
        <f t="shared" si="19"/>
        <v>-3179.6499999999978</v>
      </c>
      <c r="H90" s="78">
        <f t="shared" ref="H90" si="20">H89-G89</f>
        <v>4340.8456558999824</v>
      </c>
      <c r="I90" s="78">
        <f t="shared" ref="I90" si="21">I89-H89</f>
        <v>1197.3631684928841</v>
      </c>
      <c r="J90" s="78">
        <f t="shared" ref="J90" si="22">J89-I89</f>
        <v>2038.9539605476821</v>
      </c>
      <c r="K90" s="78">
        <f t="shared" ref="K90" si="23">K89-J89</f>
        <v>1101.3687814232908</v>
      </c>
      <c r="L90" s="78">
        <f>L89-K89</f>
        <v>2129.015196995344</v>
      </c>
    </row>
    <row r="92" spans="2:12" x14ac:dyDescent="0.35">
      <c r="B92" s="84" t="s">
        <v>300</v>
      </c>
      <c r="C92" s="48"/>
      <c r="D92" s="85" t="s">
        <v>237</v>
      </c>
      <c r="E92" s="85" t="s">
        <v>238</v>
      </c>
      <c r="F92" s="85" t="s">
        <v>239</v>
      </c>
      <c r="G92" s="85" t="s">
        <v>240</v>
      </c>
      <c r="H92" s="86" t="s">
        <v>241</v>
      </c>
      <c r="I92" s="86" t="s">
        <v>242</v>
      </c>
      <c r="J92" s="86" t="s">
        <v>243</v>
      </c>
      <c r="K92" s="86" t="s">
        <v>244</v>
      </c>
      <c r="L92" s="86" t="s">
        <v>315</v>
      </c>
    </row>
    <row r="93" spans="2:12" ht="4.75" customHeight="1" x14ac:dyDescent="0.35"/>
    <row r="94" spans="2:12" x14ac:dyDescent="0.35">
      <c r="B94" s="47" t="s">
        <v>301</v>
      </c>
      <c r="C94" s="47"/>
      <c r="D94" s="101">
        <f>D86/D84*365</f>
        <v>14.565295492242855</v>
      </c>
      <c r="E94" s="101">
        <f t="shared" ref="E94:G94" si="24">E86/E84*365</f>
        <v>9.9759159959223425</v>
      </c>
      <c r="F94" s="101">
        <f t="shared" si="24"/>
        <v>8.7850990422937372</v>
      </c>
      <c r="G94" s="101">
        <f t="shared" si="24"/>
        <v>7.7309591194968563</v>
      </c>
      <c r="H94" s="102">
        <f>Inputs!D55</f>
        <v>10</v>
      </c>
      <c r="I94" s="102">
        <f>Inputs!E55</f>
        <v>10</v>
      </c>
      <c r="J94" s="102">
        <f>Inputs!F55</f>
        <v>10</v>
      </c>
      <c r="K94" s="102">
        <f>Inputs!G55</f>
        <v>10</v>
      </c>
      <c r="L94" s="102">
        <f>Inputs!H55</f>
        <v>10</v>
      </c>
    </row>
    <row r="95" spans="2:12" x14ac:dyDescent="0.35">
      <c r="B95" s="47" t="s">
        <v>302</v>
      </c>
      <c r="C95" s="47"/>
      <c r="D95" s="101">
        <f>D87/D85*365</f>
        <v>134.26424135495452</v>
      </c>
      <c r="E95" s="101">
        <f t="shared" ref="E95:G95" si="25">E87/E85*365</f>
        <v>124.63085250933847</v>
      </c>
      <c r="F95" s="101">
        <f t="shared" si="25"/>
        <v>119.99995431614573</v>
      </c>
      <c r="G95" s="101">
        <f t="shared" si="25"/>
        <v>122.22972427623287</v>
      </c>
      <c r="H95" s="102">
        <f>Inputs!D62</f>
        <v>125</v>
      </c>
      <c r="I95" s="102">
        <f>Inputs!E62</f>
        <v>125</v>
      </c>
      <c r="J95" s="102">
        <f>Inputs!F62</f>
        <v>126</v>
      </c>
      <c r="K95" s="102">
        <f>Inputs!G62</f>
        <v>126</v>
      </c>
      <c r="L95" s="102">
        <f>Inputs!H62</f>
        <v>127</v>
      </c>
    </row>
    <row r="96" spans="2:12" x14ac:dyDescent="0.35">
      <c r="B96" s="47" t="s">
        <v>303</v>
      </c>
      <c r="C96" s="47"/>
      <c r="D96" s="101">
        <f>D88/D85*365</f>
        <v>93.347909157786432</v>
      </c>
      <c r="E96" s="101">
        <f t="shared" ref="E96:G96" si="26">E88/E85*365</f>
        <v>89.838803555724354</v>
      </c>
      <c r="F96" s="101">
        <f t="shared" si="26"/>
        <v>78.890535865402285</v>
      </c>
      <c r="G96" s="101">
        <f t="shared" si="26"/>
        <v>90.050879447683258</v>
      </c>
      <c r="H96" s="102">
        <f>Inputs!D69</f>
        <v>88</v>
      </c>
      <c r="I96" s="102">
        <f>Inputs!E69</f>
        <v>88</v>
      </c>
      <c r="J96" s="102">
        <f>Inputs!F69</f>
        <v>87</v>
      </c>
      <c r="K96" s="102">
        <f>Inputs!G69</f>
        <v>87</v>
      </c>
      <c r="L96" s="102">
        <f>Inputs!H69</f>
        <v>86</v>
      </c>
    </row>
    <row r="98" spans="2:14" x14ac:dyDescent="0.35">
      <c r="B98" s="74" t="s">
        <v>266</v>
      </c>
      <c r="C98" s="75"/>
      <c r="D98" s="75"/>
      <c r="E98" s="75"/>
      <c r="F98" s="75"/>
      <c r="G98" s="74"/>
      <c r="H98" s="74"/>
    </row>
    <row r="99" spans="2:14" x14ac:dyDescent="0.35">
      <c r="B99" s="74" t="s">
        <v>305</v>
      </c>
      <c r="C99" s="75"/>
      <c r="D99" s="75"/>
      <c r="E99" s="75"/>
      <c r="F99" s="75"/>
      <c r="G99" s="74"/>
      <c r="H99" s="74"/>
    </row>
    <row r="100" spans="2:14" x14ac:dyDescent="0.35">
      <c r="B100" s="74" t="s">
        <v>306</v>
      </c>
      <c r="C100" s="74"/>
      <c r="D100" s="74"/>
      <c r="E100" s="74"/>
      <c r="F100" s="74"/>
      <c r="G100" s="74"/>
      <c r="H100" s="74"/>
    </row>
    <row r="101" spans="2:14" x14ac:dyDescent="0.35">
      <c r="B101" s="74" t="s">
        <v>307</v>
      </c>
      <c r="C101" s="74"/>
      <c r="D101" s="74"/>
      <c r="E101" s="74"/>
      <c r="F101" s="74"/>
      <c r="G101" s="74"/>
      <c r="H101" s="74"/>
    </row>
    <row r="102" spans="2:14" x14ac:dyDescent="0.35">
      <c r="B102" s="74" t="s">
        <v>308</v>
      </c>
      <c r="C102" s="74"/>
      <c r="D102" s="74"/>
      <c r="E102" s="74"/>
      <c r="F102" s="74"/>
      <c r="G102" s="74"/>
      <c r="H102" s="74"/>
    </row>
    <row r="105" spans="2:14" ht="21.5" thickBot="1" x14ac:dyDescent="0.55000000000000004">
      <c r="B105" s="241" t="s">
        <v>309</v>
      </c>
      <c r="C105" s="241"/>
      <c r="D105" s="241"/>
      <c r="E105" s="241"/>
      <c r="F105" s="241"/>
      <c r="G105" s="241"/>
      <c r="H105" s="241"/>
      <c r="I105" s="241"/>
      <c r="J105" s="241"/>
      <c r="K105" s="241"/>
      <c r="L105" s="241"/>
    </row>
    <row r="106" spans="2:14" x14ac:dyDescent="0.35">
      <c r="B106" t="s">
        <v>94</v>
      </c>
      <c r="D106" s="71"/>
      <c r="E106" s="89"/>
    </row>
    <row r="107" spans="2:14" x14ac:dyDescent="0.35">
      <c r="B107" s="84" t="s">
        <v>309</v>
      </c>
      <c r="C107" s="48"/>
      <c r="D107" s="85" t="s">
        <v>237</v>
      </c>
      <c r="E107" s="85" t="s">
        <v>238</v>
      </c>
      <c r="F107" s="85" t="s">
        <v>239</v>
      </c>
      <c r="G107" s="85" t="s">
        <v>240</v>
      </c>
      <c r="H107" s="86" t="s">
        <v>241</v>
      </c>
      <c r="I107" s="86" t="s">
        <v>242</v>
      </c>
      <c r="J107" s="86" t="s">
        <v>243</v>
      </c>
      <c r="K107" s="86" t="s">
        <v>244</v>
      </c>
      <c r="L107" s="86" t="s">
        <v>315</v>
      </c>
    </row>
    <row r="108" spans="2:14" ht="4.25" customHeight="1" x14ac:dyDescent="0.35"/>
    <row r="109" spans="2:14" x14ac:dyDescent="0.35">
      <c r="B109" s="47" t="s">
        <v>310</v>
      </c>
      <c r="C109" s="47"/>
      <c r="D109" s="78">
        <f>68828.68</f>
        <v>68828.679999999993</v>
      </c>
      <c r="E109" s="78">
        <f>D110</f>
        <v>78017.7</v>
      </c>
      <c r="F109" s="78">
        <f>E110</f>
        <v>75817.19</v>
      </c>
      <c r="G109" s="78">
        <f t="shared" ref="G109" si="27">F110</f>
        <v>88963.81</v>
      </c>
      <c r="H109" s="78">
        <f>G110</f>
        <v>84956.39</v>
      </c>
      <c r="I109" s="78">
        <f t="shared" ref="I109:K109" si="28">H110</f>
        <v>83257.259999999995</v>
      </c>
      <c r="J109" s="78">
        <f t="shared" si="28"/>
        <v>81592.11</v>
      </c>
      <c r="K109" s="78">
        <f t="shared" si="28"/>
        <v>80776.19</v>
      </c>
      <c r="L109" s="78">
        <f>K110</f>
        <v>79968.429999999993</v>
      </c>
      <c r="M109" s="105"/>
    </row>
    <row r="110" spans="2:14" s="2" customFormat="1" x14ac:dyDescent="0.35">
      <c r="B110" s="103" t="s">
        <v>311</v>
      </c>
      <c r="C110" s="103"/>
      <c r="D110" s="104">
        <f>51446.33+26571.37</f>
        <v>78017.7</v>
      </c>
      <c r="E110" s="104">
        <f>45820+29997.19</f>
        <v>75817.19</v>
      </c>
      <c r="F110" s="104">
        <f>68551.81+20412</f>
        <v>88963.81</v>
      </c>
      <c r="G110" s="104">
        <f>63753.67+21202.72</f>
        <v>84956.39</v>
      </c>
      <c r="H110" s="108">
        <v>83257.259999999995</v>
      </c>
      <c r="I110" s="108">
        <v>81592.11</v>
      </c>
      <c r="J110" s="108">
        <v>80776.19</v>
      </c>
      <c r="K110" s="108">
        <v>79968.429999999993</v>
      </c>
      <c r="L110" s="108">
        <v>79968.429999999993</v>
      </c>
      <c r="M110"/>
      <c r="N110" s="106"/>
    </row>
    <row r="111" spans="2:14" x14ac:dyDescent="0.35">
      <c r="B111" s="47" t="s">
        <v>312</v>
      </c>
      <c r="C111" s="47"/>
      <c r="D111" s="78">
        <f>AVERAGE(D109:D110)</f>
        <v>73423.19</v>
      </c>
      <c r="E111" s="78">
        <f>AVERAGE(E109:E110)</f>
        <v>76917.445000000007</v>
      </c>
      <c r="F111" s="78">
        <f t="shared" ref="F111:G111" si="29">AVERAGE(F109:F110)</f>
        <v>82390.5</v>
      </c>
      <c r="G111" s="78">
        <f t="shared" si="29"/>
        <v>86960.1</v>
      </c>
      <c r="H111" s="78">
        <f t="shared" ref="H111" si="30">AVERAGE(H109:H110)</f>
        <v>84106.824999999997</v>
      </c>
      <c r="I111" s="78">
        <f t="shared" ref="I111" si="31">AVERAGE(I109:I110)</f>
        <v>82424.684999999998</v>
      </c>
      <c r="J111" s="78">
        <f t="shared" ref="J111" si="32">AVERAGE(J109:J110)</f>
        <v>81184.149999999994</v>
      </c>
      <c r="K111" s="78">
        <f t="shared" ref="K111" si="33">AVERAGE(K109:K110)</f>
        <v>80372.31</v>
      </c>
      <c r="L111" s="78">
        <f>AVERAGE(L109:L110)</f>
        <v>79968.429999999993</v>
      </c>
      <c r="M111" s="107"/>
      <c r="N111" s="106"/>
    </row>
    <row r="112" spans="2:14" x14ac:dyDescent="0.35">
      <c r="B112" s="47" t="s">
        <v>314</v>
      </c>
      <c r="C112" s="47"/>
      <c r="D112" s="78">
        <v>6298.7</v>
      </c>
      <c r="E112" s="78">
        <v>7507.57</v>
      </c>
      <c r="F112" s="78">
        <v>7340.95</v>
      </c>
      <c r="G112" s="78">
        <v>7167.06</v>
      </c>
      <c r="H112" s="78">
        <f>H113*H111</f>
        <v>6896.75965</v>
      </c>
      <c r="I112" s="78">
        <f t="shared" ref="I112:L112" si="34">I113*I111</f>
        <v>6676.3994849999999</v>
      </c>
      <c r="J112" s="78">
        <f t="shared" si="34"/>
        <v>6494.732</v>
      </c>
      <c r="K112" s="78">
        <f t="shared" si="34"/>
        <v>6429.7848000000004</v>
      </c>
      <c r="L112" s="78">
        <f t="shared" si="34"/>
        <v>6397.4743999999992</v>
      </c>
      <c r="M112" s="107"/>
      <c r="N112" s="106"/>
    </row>
    <row r="113" spans="2:14" x14ac:dyDescent="0.35">
      <c r="B113" s="47" t="s">
        <v>313</v>
      </c>
      <c r="C113" s="47"/>
      <c r="D113" s="69">
        <f>D112/D111</f>
        <v>8.578624818671049E-2</v>
      </c>
      <c r="E113" s="69">
        <f>E112/E111</f>
        <v>9.76055561907965E-2</v>
      </c>
      <c r="F113" s="69">
        <f>F112/F111</f>
        <v>8.9099471419641821E-2</v>
      </c>
      <c r="G113" s="69">
        <f>G112/G111</f>
        <v>8.2417798507591414E-2</v>
      </c>
      <c r="H113" s="100">
        <v>8.2000000000000003E-2</v>
      </c>
      <c r="I113" s="100">
        <v>8.1000000000000003E-2</v>
      </c>
      <c r="J113" s="100">
        <v>0.08</v>
      </c>
      <c r="K113" s="100">
        <v>0.08</v>
      </c>
      <c r="L113" s="100">
        <v>0.08</v>
      </c>
      <c r="M113" s="107"/>
      <c r="N113" s="106"/>
    </row>
    <row r="115" spans="2:14" x14ac:dyDescent="0.35">
      <c r="B115" s="74" t="s">
        <v>266</v>
      </c>
      <c r="C115" s="75"/>
      <c r="D115" s="75"/>
      <c r="E115" s="75"/>
      <c r="F115" s="75"/>
      <c r="G115" s="74"/>
      <c r="H115" s="74"/>
    </row>
    <row r="116" spans="2:14" x14ac:dyDescent="0.35">
      <c r="B116" s="74" t="s">
        <v>316</v>
      </c>
      <c r="C116" s="75"/>
      <c r="D116" s="75"/>
      <c r="E116" s="75"/>
      <c r="F116" s="75"/>
      <c r="G116" s="74"/>
      <c r="H116" s="74"/>
    </row>
    <row r="117" spans="2:14" x14ac:dyDescent="0.35">
      <c r="B117" s="74" t="s">
        <v>317</v>
      </c>
      <c r="C117" s="74"/>
      <c r="D117" s="74"/>
      <c r="E117" s="74"/>
      <c r="F117" s="74"/>
      <c r="G117" s="74"/>
      <c r="H117" s="74"/>
    </row>
    <row r="118" spans="2:14" x14ac:dyDescent="0.35">
      <c r="B118" s="74" t="s">
        <v>318</v>
      </c>
      <c r="C118" s="74"/>
      <c r="D118" s="74"/>
      <c r="E118" s="74"/>
      <c r="F118" s="74"/>
      <c r="G118" s="74"/>
      <c r="H118" s="74"/>
    </row>
    <row r="120" spans="2:14" x14ac:dyDescent="0.35">
      <c r="D120" s="172"/>
      <c r="E120" s="172"/>
      <c r="F120" s="172"/>
      <c r="G120" s="172"/>
      <c r="H120" s="172"/>
      <c r="I120" s="172"/>
      <c r="J120" s="172"/>
      <c r="K120" s="172"/>
      <c r="L120" s="172"/>
    </row>
    <row r="125" spans="2:14" ht="4.25" customHeight="1" x14ac:dyDescent="0.35"/>
  </sheetData>
  <mergeCells count="5">
    <mergeCell ref="B64:L64"/>
    <mergeCell ref="B33:L33"/>
    <mergeCell ref="B1:L1"/>
    <mergeCell ref="B80:L80"/>
    <mergeCell ref="B105:L105"/>
  </mergeCells>
  <phoneticPr fontId="28" type="noConversion"/>
  <pageMargins left="0.7" right="0.7" top="0.75" bottom="0.75" header="0.3" footer="0.3"/>
  <pageSetup scale="1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70E3-ABFB-4A69-8BB6-3F98C3163B02}">
  <dimension ref="B1:L22"/>
  <sheetViews>
    <sheetView showGridLines="0" workbookViewId="0">
      <selection activeCell="B8" sqref="B8"/>
    </sheetView>
  </sheetViews>
  <sheetFormatPr defaultRowHeight="14.5" x14ac:dyDescent="0.35"/>
  <cols>
    <col min="1" max="1" width="1.90625" customWidth="1"/>
    <col min="2" max="2" width="31.1796875" bestFit="1" customWidth="1"/>
    <col min="4" max="10" width="12.08984375" bestFit="1" customWidth="1"/>
    <col min="11" max="12" width="13.08984375" bestFit="1" customWidth="1"/>
  </cols>
  <sheetData>
    <row r="1" spans="2:12" ht="21.5" thickBot="1" x14ac:dyDescent="0.55000000000000004">
      <c r="B1" s="241" t="s">
        <v>347</v>
      </c>
      <c r="C1" s="241"/>
      <c r="D1" s="241"/>
      <c r="E1" s="241"/>
      <c r="F1" s="241"/>
      <c r="G1" s="241"/>
      <c r="H1" s="241"/>
      <c r="I1" s="241"/>
      <c r="J1" s="241"/>
      <c r="K1" s="241"/>
      <c r="L1" s="241"/>
    </row>
    <row r="2" spans="2:12" x14ac:dyDescent="0.35">
      <c r="B2" t="s">
        <v>166</v>
      </c>
    </row>
    <row r="3" spans="2:12" ht="15.5" x14ac:dyDescent="0.35">
      <c r="B3" s="119" t="s">
        <v>347</v>
      </c>
      <c r="C3" s="119"/>
      <c r="D3" s="120" t="s">
        <v>237</v>
      </c>
      <c r="E3" s="120" t="s">
        <v>238</v>
      </c>
      <c r="F3" s="120" t="s">
        <v>239</v>
      </c>
      <c r="G3" s="120" t="s">
        <v>240</v>
      </c>
      <c r="H3" s="121" t="s">
        <v>241</v>
      </c>
      <c r="I3" s="121" t="s">
        <v>242</v>
      </c>
      <c r="J3" s="121" t="s">
        <v>243</v>
      </c>
      <c r="K3" s="121" t="s">
        <v>244</v>
      </c>
      <c r="L3" s="121" t="s">
        <v>315</v>
      </c>
    </row>
    <row r="5" spans="2:12" ht="15" thickBot="1" x14ac:dyDescent="0.4">
      <c r="B5" s="156" t="s">
        <v>348</v>
      </c>
      <c r="C5" s="113"/>
      <c r="D5" s="113"/>
      <c r="E5" s="113"/>
      <c r="F5" s="113"/>
      <c r="G5" s="113"/>
      <c r="H5" s="113"/>
      <c r="I5" s="113"/>
      <c r="J5" s="113"/>
      <c r="K5" s="113"/>
      <c r="L5" s="113"/>
    </row>
    <row r="6" spans="2:12" x14ac:dyDescent="0.35">
      <c r="B6" s="40" t="s">
        <v>349</v>
      </c>
      <c r="C6" s="40"/>
      <c r="D6" s="150">
        <f>'Forecasted Income Statement '!D16</f>
        <v>11724.669312999995</v>
      </c>
      <c r="E6" s="150">
        <f>'Forecasted Income Statement '!E16</f>
        <v>22766.566118800009</v>
      </c>
      <c r="F6" s="150">
        <f>'Forecasted Income Statement '!F16</f>
        <v>20671.297639999997</v>
      </c>
      <c r="G6" s="150">
        <f>'Forecasted Income Statement '!G16</f>
        <v>22445.709999999992</v>
      </c>
      <c r="H6" s="150">
        <f>'Forecasted Income Statement '!H16</f>
        <v>25162.484755100002</v>
      </c>
      <c r="I6" s="150">
        <f>'Forecasted Income Statement '!I16</f>
        <v>28565.225415704175</v>
      </c>
      <c r="J6" s="150">
        <f>'Forecasted Income Statement '!J16</f>
        <v>32057.479154993034</v>
      </c>
      <c r="K6" s="150">
        <f>'Forecasted Income Statement '!K16</f>
        <v>35270.080417517464</v>
      </c>
      <c r="L6" s="150">
        <f>'Forecasted Income Statement '!L16</f>
        <v>39242.95394352368</v>
      </c>
    </row>
    <row r="7" spans="2:12" x14ac:dyDescent="0.35">
      <c r="B7" s="122" t="s">
        <v>350</v>
      </c>
      <c r="C7" s="47"/>
      <c r="D7" s="78">
        <f>'Assumption and Drivers'!D70</f>
        <v>9335.2000000000007</v>
      </c>
      <c r="E7" s="78">
        <f>'Assumption and Drivers'!E70</f>
        <v>9882.16</v>
      </c>
      <c r="F7" s="78">
        <f>'Assumption and Drivers'!F70</f>
        <v>10421.33</v>
      </c>
      <c r="G7" s="78">
        <f>'Assumption and Drivers'!G70</f>
        <v>11954.51</v>
      </c>
      <c r="H7" s="78">
        <f>'Assumption and Drivers'!H70</f>
        <v>13049.930008499998</v>
      </c>
      <c r="I7" s="78">
        <f>'Assumption and Drivers'!I70</f>
        <v>13996.621176335488</v>
      </c>
      <c r="J7" s="78">
        <f>'Assumption and Drivers'!J70</f>
        <v>14940.323083670632</v>
      </c>
      <c r="K7" s="78">
        <f>'Assumption and Drivers'!K70</f>
        <v>15838.623842708814</v>
      </c>
      <c r="L7" s="78">
        <f>'Assumption and Drivers'!L70</f>
        <v>16839.392376007017</v>
      </c>
    </row>
    <row r="8" spans="2:12" ht="15" thickBot="1" x14ac:dyDescent="0.4">
      <c r="B8" s="155" t="s">
        <v>351</v>
      </c>
      <c r="C8" s="111"/>
      <c r="D8" s="111"/>
      <c r="E8" s="112">
        <f>'Assumption and Drivers'!E90</f>
        <v>-4853.6500000000015</v>
      </c>
      <c r="F8" s="112">
        <f>'Assumption and Drivers'!F90</f>
        <v>549.2400000000016</v>
      </c>
      <c r="G8" s="112">
        <f>'Assumption and Drivers'!G90</f>
        <v>-3179.6499999999978</v>
      </c>
      <c r="H8" s="112">
        <f>'Assumption and Drivers'!H90</f>
        <v>4340.8456558999824</v>
      </c>
      <c r="I8" s="112">
        <f>'Assumption and Drivers'!I90</f>
        <v>1197.3631684928841</v>
      </c>
      <c r="J8" s="112">
        <f>'Assumption and Drivers'!J90</f>
        <v>2038.9539605476821</v>
      </c>
      <c r="K8" s="112">
        <f>'Assumption and Drivers'!K90</f>
        <v>1101.3687814232908</v>
      </c>
      <c r="L8" s="112">
        <f>'Assumption and Drivers'!L90</f>
        <v>2129.015196995344</v>
      </c>
    </row>
    <row r="9" spans="2:12" ht="15" thickBot="1" x14ac:dyDescent="0.4">
      <c r="B9" s="87" t="s">
        <v>352</v>
      </c>
      <c r="C9" s="151"/>
      <c r="D9" s="87"/>
      <c r="E9" s="88">
        <f t="shared" ref="E9:L9" si="0">E6+E7-E8</f>
        <v>37502.376118800006</v>
      </c>
      <c r="F9" s="88">
        <f t="shared" si="0"/>
        <v>30543.387639999997</v>
      </c>
      <c r="G9" s="88">
        <f t="shared" si="0"/>
        <v>37579.869999999995</v>
      </c>
      <c r="H9" s="88">
        <f t="shared" si="0"/>
        <v>33871.569107700016</v>
      </c>
      <c r="I9" s="88">
        <f t="shared" si="0"/>
        <v>41364.483423546779</v>
      </c>
      <c r="J9" s="88">
        <f t="shared" si="0"/>
        <v>44958.848278115984</v>
      </c>
      <c r="K9" s="88">
        <f t="shared" si="0"/>
        <v>50007.33547880299</v>
      </c>
      <c r="L9" s="88">
        <f t="shared" si="0"/>
        <v>53953.331122535354</v>
      </c>
    </row>
    <row r="10" spans="2:12" ht="15" thickTop="1" x14ac:dyDescent="0.35"/>
    <row r="11" spans="2:12" ht="15" thickBot="1" x14ac:dyDescent="0.4">
      <c r="B11" s="156" t="s">
        <v>353</v>
      </c>
      <c r="C11" s="113"/>
      <c r="D11" s="113"/>
      <c r="E11" s="113"/>
      <c r="F11" s="113"/>
      <c r="G11" s="113"/>
      <c r="H11" s="113"/>
      <c r="I11" s="113"/>
      <c r="J11" s="113"/>
      <c r="K11" s="113"/>
      <c r="L11" s="113"/>
    </row>
    <row r="12" spans="2:12" ht="15" thickBot="1" x14ac:dyDescent="0.4">
      <c r="B12" t="s">
        <v>354</v>
      </c>
      <c r="D12" s="71">
        <f>'Assumption and Drivers'!D69</f>
        <v>13814.789999999999</v>
      </c>
      <c r="E12" s="71">
        <f>'Assumption and Drivers'!E69</f>
        <v>17731.199999999997</v>
      </c>
      <c r="F12" s="71">
        <f>'Assumption and Drivers'!F69</f>
        <v>15670.52</v>
      </c>
      <c r="G12" s="71">
        <f>'Assumption and Drivers'!G69</f>
        <v>14025.75</v>
      </c>
      <c r="H12" s="71">
        <f>'Assumption and Drivers'!H69</f>
        <v>16497.081331499998</v>
      </c>
      <c r="I12" s="71">
        <f>'Assumption and Drivers'!I69</f>
        <v>17266.859768937236</v>
      </c>
      <c r="J12" s="71">
        <f>'Assumption and Drivers'!J69</f>
        <v>17983.72223034428</v>
      </c>
      <c r="K12" s="71">
        <f>'Assumption and Drivers'!K69</f>
        <v>18599.484879511267</v>
      </c>
      <c r="L12" s="71">
        <f>'Assumption and Drivers'!L69</f>
        <v>19288.758539789855</v>
      </c>
    </row>
    <row r="13" spans="2:12" ht="15" thickBot="1" x14ac:dyDescent="0.4">
      <c r="B13" s="87" t="s">
        <v>355</v>
      </c>
      <c r="C13" s="151"/>
      <c r="D13" s="88">
        <f t="shared" ref="D13:L13" si="1">SUM(D12)*-1</f>
        <v>-13814.789999999999</v>
      </c>
      <c r="E13" s="88">
        <f t="shared" si="1"/>
        <v>-17731.199999999997</v>
      </c>
      <c r="F13" s="88">
        <f t="shared" si="1"/>
        <v>-15670.52</v>
      </c>
      <c r="G13" s="88">
        <f t="shared" si="1"/>
        <v>-14025.75</v>
      </c>
      <c r="H13" s="88">
        <f t="shared" si="1"/>
        <v>-16497.081331499998</v>
      </c>
      <c r="I13" s="88">
        <f t="shared" si="1"/>
        <v>-17266.859768937236</v>
      </c>
      <c r="J13" s="88">
        <f t="shared" si="1"/>
        <v>-17983.72223034428</v>
      </c>
      <c r="K13" s="88">
        <f t="shared" si="1"/>
        <v>-18599.484879511267</v>
      </c>
      <c r="L13" s="88">
        <f t="shared" si="1"/>
        <v>-19288.758539789855</v>
      </c>
    </row>
    <row r="14" spans="2:12" ht="15" thickTop="1" x14ac:dyDescent="0.35">
      <c r="B14" s="2"/>
    </row>
    <row r="15" spans="2:12" ht="15" thickBot="1" x14ac:dyDescent="0.4">
      <c r="B15" s="156" t="s">
        <v>356</v>
      </c>
      <c r="C15" s="113"/>
      <c r="D15" s="113"/>
      <c r="E15" s="113"/>
      <c r="F15" s="113"/>
      <c r="G15" s="113"/>
      <c r="H15" s="113"/>
      <c r="I15" s="113"/>
      <c r="J15" s="113"/>
      <c r="K15" s="113"/>
      <c r="L15" s="113"/>
    </row>
    <row r="16" spans="2:12" ht="15" thickBot="1" x14ac:dyDescent="0.4">
      <c r="B16" s="40" t="s">
        <v>357</v>
      </c>
      <c r="C16" s="40"/>
      <c r="D16" s="150">
        <f>'Assumption and Drivers'!D110-'Assumption and Drivers'!D109</f>
        <v>9189.0200000000041</v>
      </c>
      <c r="E16" s="150">
        <f>'Assumption and Drivers'!E110-'Assumption and Drivers'!E109</f>
        <v>-2200.5099999999948</v>
      </c>
      <c r="F16" s="150">
        <f>'Assumption and Drivers'!F110-'Assumption and Drivers'!F109</f>
        <v>13146.619999999995</v>
      </c>
      <c r="G16" s="150">
        <f>'Assumption and Drivers'!G110-'Assumption and Drivers'!G109</f>
        <v>-4007.4199999999983</v>
      </c>
      <c r="H16" s="150">
        <f>'Assumption and Drivers'!H110-'Assumption and Drivers'!H109</f>
        <v>-1699.1300000000047</v>
      </c>
      <c r="I16" s="150">
        <f>'Assumption and Drivers'!I110-'Assumption and Drivers'!I109</f>
        <v>-1665.1499999999942</v>
      </c>
      <c r="J16" s="150">
        <f>'Assumption and Drivers'!J110-'Assumption and Drivers'!J109</f>
        <v>-815.91999999999825</v>
      </c>
      <c r="K16" s="150">
        <f>'Assumption and Drivers'!K110-'Assumption and Drivers'!K109</f>
        <v>-807.76000000000931</v>
      </c>
      <c r="L16" s="150">
        <f>'Assumption and Drivers'!L110-'Assumption and Drivers'!L109</f>
        <v>0</v>
      </c>
    </row>
    <row r="17" spans="2:12" ht="15" thickBot="1" x14ac:dyDescent="0.4">
      <c r="B17" s="87" t="s">
        <v>358</v>
      </c>
      <c r="C17" s="151"/>
      <c r="D17" s="88">
        <f t="shared" ref="D17:L17" si="2">SUM(D16)</f>
        <v>9189.0200000000041</v>
      </c>
      <c r="E17" s="88">
        <f t="shared" si="2"/>
        <v>-2200.5099999999948</v>
      </c>
      <c r="F17" s="88">
        <f t="shared" si="2"/>
        <v>13146.619999999995</v>
      </c>
      <c r="G17" s="88">
        <f t="shared" si="2"/>
        <v>-4007.4199999999983</v>
      </c>
      <c r="H17" s="88">
        <f t="shared" si="2"/>
        <v>-1699.1300000000047</v>
      </c>
      <c r="I17" s="88">
        <f t="shared" si="2"/>
        <v>-1665.1499999999942</v>
      </c>
      <c r="J17" s="88">
        <f t="shared" si="2"/>
        <v>-815.91999999999825</v>
      </c>
      <c r="K17" s="88">
        <f t="shared" si="2"/>
        <v>-807.76000000000931</v>
      </c>
      <c r="L17" s="88">
        <f t="shared" si="2"/>
        <v>0</v>
      </c>
    </row>
    <row r="18" spans="2:12" ht="15" thickTop="1" x14ac:dyDescent="0.35">
      <c r="B18" s="47"/>
      <c r="C18" s="47"/>
      <c r="D18" s="47"/>
      <c r="E18" s="47"/>
      <c r="F18" s="47"/>
      <c r="G18" s="47"/>
      <c r="H18" s="47"/>
      <c r="I18" s="47"/>
      <c r="J18" s="47"/>
      <c r="K18" s="47"/>
      <c r="L18" s="47"/>
    </row>
    <row r="19" spans="2:12" x14ac:dyDescent="0.35">
      <c r="B19" s="103" t="s">
        <v>359</v>
      </c>
      <c r="C19" s="103"/>
      <c r="D19" s="104">
        <f t="shared" ref="D19:L19" si="3">D17+D13+D9</f>
        <v>-4625.769999999995</v>
      </c>
      <c r="E19" s="104">
        <f t="shared" si="3"/>
        <v>17570.666118800014</v>
      </c>
      <c r="F19" s="104">
        <f t="shared" si="3"/>
        <v>28019.487639999992</v>
      </c>
      <c r="G19" s="104">
        <f t="shared" si="3"/>
        <v>19546.699999999997</v>
      </c>
      <c r="H19" s="104">
        <f t="shared" si="3"/>
        <v>15675.357776200013</v>
      </c>
      <c r="I19" s="104">
        <f t="shared" si="3"/>
        <v>22432.473654609548</v>
      </c>
      <c r="J19" s="104">
        <f t="shared" si="3"/>
        <v>26159.206047771706</v>
      </c>
      <c r="K19" s="104">
        <f t="shared" si="3"/>
        <v>30600.090599291714</v>
      </c>
      <c r="L19" s="104">
        <f t="shared" si="3"/>
        <v>34664.572582745503</v>
      </c>
    </row>
    <row r="20" spans="2:12" ht="15" thickBot="1" x14ac:dyDescent="0.4">
      <c r="B20" s="111" t="s">
        <v>360</v>
      </c>
      <c r="C20" s="111"/>
      <c r="D20" s="112">
        <v>17983.03</v>
      </c>
      <c r="E20" s="112">
        <v>13357.26</v>
      </c>
      <c r="F20" s="112">
        <v>8677.7199999999993</v>
      </c>
      <c r="G20" s="112">
        <v>11646.98</v>
      </c>
      <c r="H20" s="112">
        <f>G21</f>
        <v>10057.530000000001</v>
      </c>
      <c r="I20" s="112">
        <f>H21</f>
        <v>25732.887776200012</v>
      </c>
      <c r="J20" s="112">
        <f>I21</f>
        <v>48165.361430809557</v>
      </c>
      <c r="K20" s="112">
        <f>J21</f>
        <v>74324.567478581259</v>
      </c>
      <c r="L20" s="112">
        <f>K21</f>
        <v>104924.65807787297</v>
      </c>
    </row>
    <row r="21" spans="2:12" ht="15" thickBot="1" x14ac:dyDescent="0.4">
      <c r="B21" s="87" t="s">
        <v>361</v>
      </c>
      <c r="C21" s="87"/>
      <c r="D21" s="88">
        <f>D19+D20</f>
        <v>13357.260000000004</v>
      </c>
      <c r="E21" s="88">
        <v>8677.7199999999993</v>
      </c>
      <c r="F21" s="88">
        <v>11646.98</v>
      </c>
      <c r="G21" s="88">
        <v>10057.530000000001</v>
      </c>
      <c r="H21" s="88">
        <f>H20+H19</f>
        <v>25732.887776200012</v>
      </c>
      <c r="I21" s="88">
        <f>I20+I19</f>
        <v>48165.361430809557</v>
      </c>
      <c r="J21" s="88">
        <f>J20+J19</f>
        <v>74324.567478581259</v>
      </c>
      <c r="K21" s="88">
        <f>K20+K19</f>
        <v>104924.65807787297</v>
      </c>
      <c r="L21" s="88">
        <f>L20+L19</f>
        <v>139589.23066061846</v>
      </c>
    </row>
    <row r="22" spans="2:12" ht="15" thickTop="1" x14ac:dyDescent="0.35"/>
  </sheetData>
  <mergeCells count="1">
    <mergeCell ref="B1: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8B03-6541-4414-A8EE-A28F47A71630}">
  <dimension ref="B1:L29"/>
  <sheetViews>
    <sheetView showGridLines="0" topLeftCell="A19" workbookViewId="0">
      <selection activeCell="A4" sqref="A4"/>
    </sheetView>
  </sheetViews>
  <sheetFormatPr defaultRowHeight="14.5" x14ac:dyDescent="0.35"/>
  <cols>
    <col min="1" max="1" width="1.90625" customWidth="1"/>
    <col min="2" max="2" width="25.6328125" bestFit="1" customWidth="1"/>
    <col min="4" max="12" width="13.08984375" bestFit="1" customWidth="1"/>
  </cols>
  <sheetData>
    <row r="1" spans="2:12" ht="21.5" thickBot="1" x14ac:dyDescent="0.55000000000000004">
      <c r="B1" s="241" t="s">
        <v>333</v>
      </c>
      <c r="C1" s="241"/>
      <c r="D1" s="241"/>
      <c r="E1" s="241"/>
      <c r="F1" s="241"/>
      <c r="G1" s="241"/>
      <c r="H1" s="241"/>
      <c r="I1" s="241"/>
      <c r="J1" s="241"/>
      <c r="K1" s="241"/>
      <c r="L1" s="241"/>
    </row>
    <row r="2" spans="2:12" x14ac:dyDescent="0.35">
      <c r="B2" t="s">
        <v>166</v>
      </c>
    </row>
    <row r="3" spans="2:12" ht="15.5" x14ac:dyDescent="0.35">
      <c r="B3" s="119" t="s">
        <v>333</v>
      </c>
      <c r="C3" s="119"/>
      <c r="D3" s="120" t="s">
        <v>237</v>
      </c>
      <c r="E3" s="120" t="s">
        <v>238</v>
      </c>
      <c r="F3" s="120" t="s">
        <v>239</v>
      </c>
      <c r="G3" s="120" t="s">
        <v>240</v>
      </c>
      <c r="H3" s="121" t="s">
        <v>241</v>
      </c>
      <c r="I3" s="121" t="s">
        <v>242</v>
      </c>
      <c r="J3" s="121" t="s">
        <v>243</v>
      </c>
      <c r="K3" s="121" t="s">
        <v>244</v>
      </c>
      <c r="L3" s="121" t="s">
        <v>315</v>
      </c>
    </row>
    <row r="5" spans="2:12" x14ac:dyDescent="0.35">
      <c r="B5" s="40" t="s">
        <v>334</v>
      </c>
      <c r="C5" s="40"/>
      <c r="D5" s="175">
        <f t="shared" ref="D5:L5" si="0">D27-SUM(D6:D8,D11:D14)</f>
        <v>7098.4399999999732</v>
      </c>
      <c r="E5" s="175">
        <f t="shared" si="0"/>
        <v>-12320.739999999962</v>
      </c>
      <c r="F5" s="175">
        <f t="shared" si="0"/>
        <v>-8791.6800000000221</v>
      </c>
      <c r="G5" s="175">
        <f t="shared" si="0"/>
        <v>-2070.0899999999383</v>
      </c>
      <c r="H5" s="175">
        <f t="shared" si="0"/>
        <v>13605.267776199995</v>
      </c>
      <c r="I5" s="175">
        <f t="shared" si="0"/>
        <v>36037.741430809605</v>
      </c>
      <c r="J5" s="175">
        <f t="shared" si="0"/>
        <v>62196.947478581278</v>
      </c>
      <c r="K5" s="175">
        <f t="shared" si="0"/>
        <v>92797.038077873003</v>
      </c>
      <c r="L5" s="175">
        <f t="shared" si="0"/>
        <v>127461.61066061846</v>
      </c>
    </row>
    <row r="6" spans="2:12" x14ac:dyDescent="0.35">
      <c r="B6" s="47" t="s">
        <v>335</v>
      </c>
      <c r="C6" s="47"/>
      <c r="D6" s="78">
        <f>'Assumption and Drivers'!D86</f>
        <v>8257.24</v>
      </c>
      <c r="E6" s="78">
        <f>'Assumption and Drivers'!E86</f>
        <v>6263.53</v>
      </c>
      <c r="F6" s="78">
        <f>'Assumption and Drivers'!F86</f>
        <v>5260.06</v>
      </c>
      <c r="G6" s="78">
        <f>'Assumption and Drivers'!G86</f>
        <v>4916.8900000000003</v>
      </c>
      <c r="H6" s="78">
        <f>'Assumption and Drivers'!H86</f>
        <v>6745.8929999999982</v>
      </c>
      <c r="I6" s="78">
        <f>'Assumption and Drivers'!I86</f>
        <v>7167.6462303599983</v>
      </c>
      <c r="J6" s="78">
        <f>'Assumption and Drivers'!J86</f>
        <v>7580.0725944549122</v>
      </c>
      <c r="K6" s="78">
        <f>'Assumption and Drivers'!K86</f>
        <v>7962.1082532154396</v>
      </c>
      <c r="L6" s="78">
        <f>'Assumption and Drivers'!L86</f>
        <v>8388.2402869275302</v>
      </c>
    </row>
    <row r="7" spans="2:12" x14ac:dyDescent="0.35">
      <c r="B7" s="47" t="s">
        <v>336</v>
      </c>
      <c r="C7" s="47"/>
      <c r="D7" s="78">
        <f>'Assumption and Drivers'!D87</f>
        <v>54415.33</v>
      </c>
      <c r="E7" s="78">
        <f>'Assumption and Drivers'!E87</f>
        <v>49157.51</v>
      </c>
      <c r="F7" s="78">
        <f>'Assumption and Drivers'!F87</f>
        <v>44589.94</v>
      </c>
      <c r="G7" s="78">
        <f>'Assumption and Drivers'!G87</f>
        <v>47249.22</v>
      </c>
      <c r="H7" s="78">
        <f>'Assumption and Drivers'!H87</f>
        <v>50509.873837499981</v>
      </c>
      <c r="I7" s="78">
        <f>'Assumption and Drivers'!I87</f>
        <v>53130.177682543486</v>
      </c>
      <c r="J7" s="78">
        <f>'Assumption and Drivers'!J87</f>
        <v>56063.732923107425</v>
      </c>
      <c r="K7" s="78">
        <f>'Assumption and Drivers'!K87</f>
        <v>58387.732242479455</v>
      </c>
      <c r="L7" s="78">
        <f>'Assumption and Drivers'!L87</f>
        <v>61255.124695288287</v>
      </c>
    </row>
    <row r="8" spans="2:12" ht="15" thickBot="1" x14ac:dyDescent="0.4">
      <c r="B8" s="111" t="s">
        <v>204</v>
      </c>
      <c r="C8" s="111"/>
      <c r="D8" s="112">
        <v>4829.75</v>
      </c>
      <c r="E8" s="112">
        <v>4218.41</v>
      </c>
      <c r="F8" s="112">
        <v>4538.4399999999996</v>
      </c>
      <c r="G8" s="112">
        <v>5600.33</v>
      </c>
      <c r="H8" s="112">
        <f>G8</f>
        <v>5600.33</v>
      </c>
      <c r="I8" s="112">
        <f>H8</f>
        <v>5600.33</v>
      </c>
      <c r="J8" s="112">
        <f>I8</f>
        <v>5600.33</v>
      </c>
      <c r="K8" s="112">
        <f>J8</f>
        <v>5600.33</v>
      </c>
      <c r="L8" s="112">
        <f>K8</f>
        <v>5600.33</v>
      </c>
    </row>
    <row r="9" spans="2:12" x14ac:dyDescent="0.35">
      <c r="B9" s="152" t="s">
        <v>337</v>
      </c>
      <c r="C9" s="152"/>
      <c r="D9" s="154">
        <f t="shared" ref="D9:L9" si="1">SUM(D5:D8)</f>
        <v>74600.75999999998</v>
      </c>
      <c r="E9" s="154">
        <f t="shared" si="1"/>
        <v>47318.710000000036</v>
      </c>
      <c r="F9" s="154">
        <f t="shared" si="1"/>
        <v>45596.75999999998</v>
      </c>
      <c r="G9" s="154">
        <f t="shared" si="1"/>
        <v>55696.350000000064</v>
      </c>
      <c r="H9" s="154">
        <f t="shared" si="1"/>
        <v>76461.364613699974</v>
      </c>
      <c r="I9" s="154">
        <f t="shared" si="1"/>
        <v>101935.8953437131</v>
      </c>
      <c r="J9" s="154">
        <f t="shared" si="1"/>
        <v>131441.08299614361</v>
      </c>
      <c r="K9" s="154">
        <f t="shared" si="1"/>
        <v>164747.20857356788</v>
      </c>
      <c r="L9" s="154">
        <f t="shared" si="1"/>
        <v>202705.30564283425</v>
      </c>
    </row>
    <row r="10" spans="2:12" x14ac:dyDescent="0.35">
      <c r="B10" s="111"/>
      <c r="C10" s="111"/>
      <c r="D10" s="112"/>
      <c r="E10" s="112"/>
      <c r="F10" s="112"/>
      <c r="G10" s="112"/>
      <c r="H10" s="112"/>
      <c r="I10" s="112"/>
      <c r="J10" s="112"/>
      <c r="K10" s="112"/>
      <c r="L10" s="112"/>
    </row>
    <row r="11" spans="2:12" x14ac:dyDescent="0.35">
      <c r="B11" s="40" t="s">
        <v>331</v>
      </c>
      <c r="C11" s="40"/>
      <c r="D11" s="150">
        <f>'Assumption and Drivers'!D71</f>
        <v>120646.05</v>
      </c>
      <c r="E11" s="150">
        <f>'Assumption and Drivers'!E71</f>
        <v>128495.09</v>
      </c>
      <c r="F11" s="150">
        <f>'Assumption and Drivers'!F71</f>
        <v>133744.28</v>
      </c>
      <c r="G11" s="150">
        <f>'Assumption and Drivers'!G71</f>
        <v>135815.51999999999</v>
      </c>
      <c r="H11" s="150">
        <f>'Assumption and Drivers'!H71</f>
        <v>139262.67132299999</v>
      </c>
      <c r="I11" s="150">
        <f>'Assumption and Drivers'!I71</f>
        <v>142532.90991560172</v>
      </c>
      <c r="J11" s="150">
        <f>'Assumption and Drivers'!J71</f>
        <v>145576.30906227537</v>
      </c>
      <c r="K11" s="150">
        <f>'Assumption and Drivers'!K71</f>
        <v>148337.1700990778</v>
      </c>
      <c r="L11" s="150">
        <f>'Assumption and Drivers'!L71</f>
        <v>150786.53626286064</v>
      </c>
    </row>
    <row r="12" spans="2:12" x14ac:dyDescent="0.35">
      <c r="B12" s="47" t="s">
        <v>332</v>
      </c>
      <c r="C12" s="47"/>
      <c r="D12" s="78">
        <v>5601.65</v>
      </c>
      <c r="E12" s="78">
        <v>5745.3</v>
      </c>
      <c r="F12" s="78">
        <v>5958.53</v>
      </c>
      <c r="G12" s="78">
        <v>7533.8</v>
      </c>
      <c r="H12" s="78">
        <f t="shared" ref="H12:L14" si="2">G12</f>
        <v>7533.8</v>
      </c>
      <c r="I12" s="78">
        <f t="shared" si="2"/>
        <v>7533.8</v>
      </c>
      <c r="J12" s="78">
        <f t="shared" si="2"/>
        <v>7533.8</v>
      </c>
      <c r="K12" s="78">
        <f t="shared" si="2"/>
        <v>7533.8</v>
      </c>
      <c r="L12" s="78">
        <f t="shared" si="2"/>
        <v>7533.8</v>
      </c>
    </row>
    <row r="13" spans="2:12" x14ac:dyDescent="0.35">
      <c r="B13" s="47" t="s">
        <v>338</v>
      </c>
      <c r="C13" s="47"/>
      <c r="D13" s="78">
        <v>1546.92</v>
      </c>
      <c r="E13" s="78">
        <v>2579.19</v>
      </c>
      <c r="F13" s="78">
        <v>2780.6</v>
      </c>
      <c r="G13" s="78">
        <v>3141.84</v>
      </c>
      <c r="H13" s="78">
        <f t="shared" si="2"/>
        <v>3141.84</v>
      </c>
      <c r="I13" s="78">
        <f t="shared" si="2"/>
        <v>3141.84</v>
      </c>
      <c r="J13" s="78">
        <f t="shared" si="2"/>
        <v>3141.84</v>
      </c>
      <c r="K13" s="78">
        <f t="shared" si="2"/>
        <v>3141.84</v>
      </c>
      <c r="L13" s="78">
        <f t="shared" si="2"/>
        <v>3141.84</v>
      </c>
    </row>
    <row r="14" spans="2:12" ht="15" thickBot="1" x14ac:dyDescent="0.4">
      <c r="B14" s="111" t="s">
        <v>339</v>
      </c>
      <c r="C14" s="111"/>
      <c r="D14" s="112">
        <f>E14</f>
        <v>37642.44</v>
      </c>
      <c r="E14" s="112">
        <f>F14</f>
        <v>37642.44</v>
      </c>
      <c r="F14" s="112">
        <f>G14</f>
        <v>37642.44</v>
      </c>
      <c r="G14" s="112">
        <v>37642.44</v>
      </c>
      <c r="H14" s="112">
        <f t="shared" si="2"/>
        <v>37642.44</v>
      </c>
      <c r="I14" s="112">
        <f t="shared" si="2"/>
        <v>37642.44</v>
      </c>
      <c r="J14" s="112">
        <f t="shared" si="2"/>
        <v>37642.44</v>
      </c>
      <c r="K14" s="112">
        <f t="shared" si="2"/>
        <v>37642.44</v>
      </c>
      <c r="L14" s="112">
        <f t="shared" si="2"/>
        <v>37642.44</v>
      </c>
    </row>
    <row r="15" spans="2:12" ht="15" thickBot="1" x14ac:dyDescent="0.4">
      <c r="B15" s="87" t="s">
        <v>340</v>
      </c>
      <c r="C15" s="151"/>
      <c r="D15" s="88">
        <f t="shared" ref="D15:L15" si="3">SUM(D9:D14)</f>
        <v>240037.82</v>
      </c>
      <c r="E15" s="88">
        <f t="shared" si="3"/>
        <v>221780.73000000004</v>
      </c>
      <c r="F15" s="88">
        <f t="shared" si="3"/>
        <v>225722.61</v>
      </c>
      <c r="G15" s="88">
        <f t="shared" si="3"/>
        <v>239829.95000000004</v>
      </c>
      <c r="H15" s="88">
        <f t="shared" si="3"/>
        <v>264042.11593669991</v>
      </c>
      <c r="I15" s="88">
        <f t="shared" si="3"/>
        <v>292786.88525931479</v>
      </c>
      <c r="J15" s="88">
        <f t="shared" si="3"/>
        <v>325335.47205841896</v>
      </c>
      <c r="K15" s="88">
        <f t="shared" si="3"/>
        <v>361402.45867264568</v>
      </c>
      <c r="L15" s="88">
        <f t="shared" si="3"/>
        <v>401809.92190569494</v>
      </c>
    </row>
    <row r="16" spans="2:12" ht="15" thickTop="1" x14ac:dyDescent="0.35">
      <c r="D16" s="71"/>
      <c r="E16" s="71"/>
      <c r="F16" s="71"/>
      <c r="G16" s="71"/>
      <c r="H16" s="71"/>
      <c r="I16" s="71"/>
      <c r="J16" s="71"/>
      <c r="K16" s="71"/>
      <c r="L16" s="71"/>
    </row>
    <row r="17" spans="2:12" x14ac:dyDescent="0.35">
      <c r="B17" s="40" t="s">
        <v>341</v>
      </c>
      <c r="C17" s="40"/>
      <c r="D17" s="150">
        <f>'Balance Sheet'!H4</f>
        <v>1221.24</v>
      </c>
      <c r="E17" s="150">
        <f>'Balance Sheet'!I4</f>
        <v>1247.44</v>
      </c>
      <c r="F17" s="150">
        <f>'Balance Sheet'!J4</f>
        <v>1247.44</v>
      </c>
      <c r="G17" s="150">
        <f>'Balance Sheet'!K4</f>
        <v>1247.44</v>
      </c>
      <c r="H17" s="150">
        <f>G17</f>
        <v>1247.44</v>
      </c>
      <c r="I17" s="150">
        <f>H17</f>
        <v>1247.44</v>
      </c>
      <c r="J17" s="150">
        <f>I17</f>
        <v>1247.44</v>
      </c>
      <c r="K17" s="150">
        <f>J17</f>
        <v>1247.44</v>
      </c>
      <c r="L17" s="150">
        <f>K17</f>
        <v>1247.44</v>
      </c>
    </row>
    <row r="18" spans="2:12" x14ac:dyDescent="0.35">
      <c r="B18" s="47" t="s">
        <v>342</v>
      </c>
      <c r="C18" s="47"/>
      <c r="D18" s="148">
        <v>101860.86</v>
      </c>
      <c r="E18" s="148">
        <v>90788.32</v>
      </c>
      <c r="F18" s="148">
        <v>89922.19</v>
      </c>
      <c r="G18" s="148">
        <v>100920.21</v>
      </c>
      <c r="H18" s="78">
        <f>G18+'Forecasted Income Statement '!H16</f>
        <v>126082.6947551</v>
      </c>
      <c r="I18" s="78">
        <f>H18+'Forecasted Income Statement '!I16</f>
        <v>154647.92017080419</v>
      </c>
      <c r="J18" s="78">
        <f>I18+'Forecasted Income Statement '!J16</f>
        <v>186705.39932579722</v>
      </c>
      <c r="K18" s="78">
        <f>J18+'Forecasted Income Statement '!K16</f>
        <v>221975.47974331467</v>
      </c>
      <c r="L18" s="78">
        <f>K18+'Forecasted Income Statement '!L16</f>
        <v>261218.43368683837</v>
      </c>
    </row>
    <row r="19" spans="2:12" x14ac:dyDescent="0.35">
      <c r="B19" s="47" t="s">
        <v>362</v>
      </c>
      <c r="C19" s="47"/>
      <c r="D19" s="78">
        <f t="shared" ref="D19:L19" si="4">SUM(D17:D18)</f>
        <v>103082.1</v>
      </c>
      <c r="E19" s="78">
        <f t="shared" si="4"/>
        <v>92035.760000000009</v>
      </c>
      <c r="F19" s="78">
        <f t="shared" si="4"/>
        <v>91169.63</v>
      </c>
      <c r="G19" s="78">
        <f t="shared" si="4"/>
        <v>102167.65000000001</v>
      </c>
      <c r="H19" s="78">
        <f t="shared" si="4"/>
        <v>127330.13475510001</v>
      </c>
      <c r="I19" s="78">
        <f t="shared" si="4"/>
        <v>155895.3601708042</v>
      </c>
      <c r="J19" s="78">
        <f t="shared" si="4"/>
        <v>187952.83932579722</v>
      </c>
      <c r="K19" s="78">
        <f t="shared" si="4"/>
        <v>223222.91974331468</v>
      </c>
      <c r="L19" s="78">
        <f t="shared" si="4"/>
        <v>262465.87368683837</v>
      </c>
    </row>
    <row r="20" spans="2:12" ht="15" thickBot="1" x14ac:dyDescent="0.4">
      <c r="B20" s="111" t="s">
        <v>363</v>
      </c>
      <c r="C20" s="111"/>
      <c r="D20" s="153">
        <v>2093.11</v>
      </c>
      <c r="E20" s="153">
        <v>396.98</v>
      </c>
      <c r="F20" s="153">
        <v>183.15</v>
      </c>
      <c r="G20" s="153">
        <v>1612.8</v>
      </c>
      <c r="H20" s="153">
        <f>G20</f>
        <v>1612.8</v>
      </c>
      <c r="I20" s="153">
        <f>H20</f>
        <v>1612.8</v>
      </c>
      <c r="J20" s="153">
        <f>I20</f>
        <v>1612.8</v>
      </c>
      <c r="K20" s="153">
        <f>J20</f>
        <v>1612.8</v>
      </c>
      <c r="L20" s="153">
        <f>K20</f>
        <v>1612.8</v>
      </c>
    </row>
    <row r="21" spans="2:12" x14ac:dyDescent="0.35">
      <c r="B21" s="157" t="s">
        <v>174</v>
      </c>
      <c r="C21" s="157"/>
      <c r="D21" s="158">
        <f t="shared" ref="D21:L21" si="5">D17+D18+D20</f>
        <v>105175.21</v>
      </c>
      <c r="E21" s="158">
        <f t="shared" si="5"/>
        <v>92432.74</v>
      </c>
      <c r="F21" s="158">
        <f t="shared" si="5"/>
        <v>91352.78</v>
      </c>
      <c r="G21" s="158">
        <f t="shared" si="5"/>
        <v>103780.45000000001</v>
      </c>
      <c r="H21" s="158">
        <f t="shared" si="5"/>
        <v>128942.93475510001</v>
      </c>
      <c r="I21" s="158">
        <f t="shared" si="5"/>
        <v>157508.16017080419</v>
      </c>
      <c r="J21" s="158">
        <f t="shared" si="5"/>
        <v>189565.63932579721</v>
      </c>
      <c r="K21" s="158">
        <f t="shared" si="5"/>
        <v>224835.71974331466</v>
      </c>
      <c r="L21" s="158">
        <f t="shared" si="5"/>
        <v>264078.67368683836</v>
      </c>
    </row>
    <row r="22" spans="2:12" x14ac:dyDescent="0.35">
      <c r="D22" s="89"/>
      <c r="G22" s="89"/>
      <c r="H22" s="71"/>
      <c r="I22" s="71"/>
      <c r="J22" s="71"/>
      <c r="K22" s="71"/>
      <c r="L22" s="71"/>
    </row>
    <row r="23" spans="2:12" x14ac:dyDescent="0.35">
      <c r="B23" s="40" t="s">
        <v>205</v>
      </c>
      <c r="C23" s="40"/>
      <c r="D23" s="150">
        <f>'Assumption and Drivers'!D88</f>
        <v>37832.54</v>
      </c>
      <c r="E23" s="150">
        <f>'Assumption and Drivers'!E88</f>
        <v>35434.660000000003</v>
      </c>
      <c r="F23" s="150">
        <f>'Assumption and Drivers'!F88</f>
        <v>29314.38</v>
      </c>
      <c r="G23" s="150">
        <f>'Assumption and Drivers'!G88</f>
        <v>34810.14</v>
      </c>
      <c r="H23" s="150">
        <f>'Assumption and Drivers'!H88</f>
        <v>35558.951181599994</v>
      </c>
      <c r="I23" s="150">
        <f>'Assumption and Drivers'!I88</f>
        <v>37403.645088510617</v>
      </c>
      <c r="J23" s="150">
        <f>'Assumption and Drivers'!J88</f>
        <v>38710.672732621788</v>
      </c>
      <c r="K23" s="150">
        <f>'Assumption and Drivers'!K88</f>
        <v>40315.338929331054</v>
      </c>
      <c r="L23" s="150">
        <f>'Assumption and Drivers'!L88</f>
        <v>41479.848218856634</v>
      </c>
    </row>
    <row r="24" spans="2:12" x14ac:dyDescent="0.35">
      <c r="B24" s="47" t="s">
        <v>343</v>
      </c>
      <c r="C24" s="47"/>
      <c r="D24" s="78">
        <v>14545.1</v>
      </c>
      <c r="E24" s="78">
        <v>15185.73</v>
      </c>
      <c r="F24" s="78">
        <v>13301.81</v>
      </c>
      <c r="G24" s="78">
        <v>13186.3</v>
      </c>
      <c r="H24" s="78">
        <f>G24</f>
        <v>13186.3</v>
      </c>
      <c r="I24" s="78">
        <f>H24</f>
        <v>13186.3</v>
      </c>
      <c r="J24" s="78">
        <f>I24</f>
        <v>13186.3</v>
      </c>
      <c r="K24" s="78">
        <f>J24</f>
        <v>13186.3</v>
      </c>
      <c r="L24" s="78">
        <f>K24</f>
        <v>13186.3</v>
      </c>
    </row>
    <row r="25" spans="2:12" x14ac:dyDescent="0.35">
      <c r="B25" s="47" t="s">
        <v>173</v>
      </c>
      <c r="C25" s="47"/>
      <c r="D25" s="78">
        <f>'Assumption and Drivers'!D110</f>
        <v>78017.7</v>
      </c>
      <c r="E25" s="78">
        <f>'Assumption and Drivers'!E110</f>
        <v>75817.19</v>
      </c>
      <c r="F25" s="78">
        <f>'Assumption and Drivers'!F110</f>
        <v>88963.81</v>
      </c>
      <c r="G25" s="78">
        <f>'Assumption and Drivers'!G110</f>
        <v>84956.39</v>
      </c>
      <c r="H25" s="78">
        <f>'Assumption and Drivers'!H110</f>
        <v>83257.259999999995</v>
      </c>
      <c r="I25" s="78">
        <f>'Assumption and Drivers'!I110</f>
        <v>81592.11</v>
      </c>
      <c r="J25" s="78">
        <f>'Assumption and Drivers'!J110</f>
        <v>80776.19</v>
      </c>
      <c r="K25" s="78">
        <f>'Assumption and Drivers'!K110</f>
        <v>79968.429999999993</v>
      </c>
      <c r="L25" s="78">
        <f>'Assumption and Drivers'!L110</f>
        <v>79968.429999999993</v>
      </c>
    </row>
    <row r="26" spans="2:12" ht="15" thickBot="1" x14ac:dyDescent="0.4">
      <c r="B26" s="111" t="s">
        <v>344</v>
      </c>
      <c r="C26" s="111"/>
      <c r="D26" s="112">
        <v>4467.2700000000004</v>
      </c>
      <c r="E26" s="112">
        <v>2910.41</v>
      </c>
      <c r="F26" s="112">
        <v>2789.83</v>
      </c>
      <c r="G26" s="112">
        <v>3096.67</v>
      </c>
      <c r="H26" s="112">
        <f>G26</f>
        <v>3096.67</v>
      </c>
      <c r="I26" s="112">
        <f>H26</f>
        <v>3096.67</v>
      </c>
      <c r="J26" s="112">
        <f>I26</f>
        <v>3096.67</v>
      </c>
      <c r="K26" s="112">
        <f>J26</f>
        <v>3096.67</v>
      </c>
      <c r="L26" s="112">
        <f>K26</f>
        <v>3096.67</v>
      </c>
    </row>
    <row r="27" spans="2:12" ht="15" thickBot="1" x14ac:dyDescent="0.4">
      <c r="B27" s="87" t="s">
        <v>345</v>
      </c>
      <c r="C27" s="87"/>
      <c r="D27" s="88">
        <f t="shared" ref="D27:L27" si="6">SUM(D21:D26)</f>
        <v>240037.81999999998</v>
      </c>
      <c r="E27" s="88">
        <f t="shared" si="6"/>
        <v>221780.73</v>
      </c>
      <c r="F27" s="88">
        <f t="shared" si="6"/>
        <v>225722.61</v>
      </c>
      <c r="G27" s="88">
        <f t="shared" si="6"/>
        <v>239829.95000000004</v>
      </c>
      <c r="H27" s="88">
        <f t="shared" si="6"/>
        <v>264042.11593669996</v>
      </c>
      <c r="I27" s="88">
        <f t="shared" si="6"/>
        <v>292786.88525931479</v>
      </c>
      <c r="J27" s="88">
        <f t="shared" si="6"/>
        <v>325335.47205841896</v>
      </c>
      <c r="K27" s="88">
        <f t="shared" si="6"/>
        <v>361402.45867264568</v>
      </c>
      <c r="L27" s="88">
        <f t="shared" si="6"/>
        <v>401809.92190569494</v>
      </c>
    </row>
    <row r="28" spans="2:12" ht="15" thickTop="1" x14ac:dyDescent="0.35">
      <c r="B28" s="40"/>
      <c r="C28" s="40"/>
      <c r="D28" s="150"/>
      <c r="E28" s="150"/>
      <c r="F28" s="150"/>
      <c r="G28" s="150"/>
      <c r="H28" s="150"/>
      <c r="I28" s="150"/>
      <c r="J28" s="150"/>
      <c r="K28" s="150"/>
      <c r="L28" s="150"/>
    </row>
    <row r="29" spans="2:12" x14ac:dyDescent="0.35">
      <c r="B29" s="47" t="s">
        <v>346</v>
      </c>
      <c r="C29" s="47"/>
      <c r="D29" s="173">
        <f t="shared" ref="D29:L29" si="7">D15-D27</f>
        <v>0</v>
      </c>
      <c r="E29" s="173">
        <f t="shared" si="7"/>
        <v>0</v>
      </c>
      <c r="F29" s="173">
        <f t="shared" si="7"/>
        <v>0</v>
      </c>
      <c r="G29" s="173">
        <f t="shared" si="7"/>
        <v>0</v>
      </c>
      <c r="H29" s="173">
        <f t="shared" si="7"/>
        <v>0</v>
      </c>
      <c r="I29" s="173">
        <f t="shared" si="7"/>
        <v>0</v>
      </c>
      <c r="J29" s="173">
        <f t="shared" si="7"/>
        <v>0</v>
      </c>
      <c r="K29" s="173">
        <f t="shared" si="7"/>
        <v>0</v>
      </c>
      <c r="L29" s="173">
        <f t="shared" si="7"/>
        <v>0</v>
      </c>
    </row>
  </sheetData>
  <mergeCells count="1">
    <mergeCell ref="B1:L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2141-0758-482A-9A94-4842B464F866}">
  <dimension ref="B1:L26"/>
  <sheetViews>
    <sheetView showGridLines="0" topLeftCell="B1" workbookViewId="0">
      <selection activeCell="B1" sqref="B1:L1"/>
    </sheetView>
  </sheetViews>
  <sheetFormatPr defaultRowHeight="14.5" x14ac:dyDescent="0.35"/>
  <cols>
    <col min="1" max="1" width="1.90625" customWidth="1"/>
    <col min="2" max="2" width="29.81640625" bestFit="1" customWidth="1"/>
    <col min="4" max="8" width="12.81640625" bestFit="1" customWidth="1"/>
    <col min="9" max="12" width="14.453125" bestFit="1" customWidth="1"/>
  </cols>
  <sheetData>
    <row r="1" spans="2:12" ht="21.5" thickBot="1" x14ac:dyDescent="0.55000000000000004">
      <c r="B1" s="241" t="s">
        <v>319</v>
      </c>
      <c r="C1" s="241"/>
      <c r="D1" s="241"/>
      <c r="E1" s="241"/>
      <c r="F1" s="241"/>
      <c r="G1" s="241"/>
      <c r="H1" s="241"/>
      <c r="I1" s="241"/>
      <c r="J1" s="241"/>
      <c r="K1" s="241"/>
      <c r="L1" s="241"/>
    </row>
    <row r="2" spans="2:12" x14ac:dyDescent="0.35">
      <c r="B2" t="s">
        <v>94</v>
      </c>
      <c r="D2" s="71"/>
      <c r="E2" s="89"/>
    </row>
    <row r="3" spans="2:12" ht="15.5" x14ac:dyDescent="0.35">
      <c r="B3" s="119" t="s">
        <v>319</v>
      </c>
      <c r="C3" s="119"/>
      <c r="D3" s="120" t="s">
        <v>237</v>
      </c>
      <c r="E3" s="120" t="s">
        <v>238</v>
      </c>
      <c r="F3" s="120" t="s">
        <v>239</v>
      </c>
      <c r="G3" s="120" t="s">
        <v>240</v>
      </c>
      <c r="H3" s="121" t="s">
        <v>241</v>
      </c>
      <c r="I3" s="121" t="s">
        <v>242</v>
      </c>
      <c r="J3" s="121" t="s">
        <v>243</v>
      </c>
      <c r="K3" s="121" t="s">
        <v>244</v>
      </c>
      <c r="L3" s="86" t="s">
        <v>315</v>
      </c>
    </row>
    <row r="5" spans="2:12" x14ac:dyDescent="0.35">
      <c r="B5" s="40" t="s">
        <v>126</v>
      </c>
      <c r="C5" s="40"/>
      <c r="D5" s="150">
        <f>'Assumption and Drivers'!D26</f>
        <v>206922.86000000002</v>
      </c>
      <c r="E5" s="150">
        <f>'Assumption and Drivers'!E26</f>
        <v>229170.78</v>
      </c>
      <c r="F5" s="150">
        <f>'Assumption and Drivers'!F26</f>
        <v>218543</v>
      </c>
      <c r="G5" s="150">
        <f>'Assumption and Drivers'!G26</f>
        <v>232140</v>
      </c>
      <c r="H5" s="150">
        <f>'Assumption and Drivers'!H26</f>
        <v>246225.09449999995</v>
      </c>
      <c r="I5" s="150">
        <f>'Assumption and Drivers'!I26</f>
        <v>261619.08740813995</v>
      </c>
      <c r="J5" s="150">
        <f>'Assumption and Drivers'!J26</f>
        <v>276672.6496976043</v>
      </c>
      <c r="K5" s="150">
        <f>'Assumption and Drivers'!K26</f>
        <v>290616.95124236355</v>
      </c>
      <c r="L5" s="150">
        <f>'Assumption and Drivers'!L26</f>
        <v>306170.77047285484</v>
      </c>
    </row>
    <row r="6" spans="2:12" ht="15" thickBot="1" x14ac:dyDescent="0.4">
      <c r="B6" s="109" t="s">
        <v>320</v>
      </c>
      <c r="C6" s="109"/>
      <c r="D6" s="110">
        <f>'Assumption and Drivers'!D43*'Assumption and Drivers'!D36</f>
        <v>147929.15261400002</v>
      </c>
      <c r="E6" s="110">
        <f>'Assumption and Drivers'!E43*'Assumption and Drivers'!E36</f>
        <v>143965.083996</v>
      </c>
      <c r="F6" s="110">
        <f>'Assumption and Drivers'!F43*'Assumption and Drivers'!F36</f>
        <v>135627.78580000001</v>
      </c>
      <c r="G6" s="110">
        <f>'Assumption and Drivers'!G43*'Assumption and Drivers'!G36</f>
        <v>141094.69200000001</v>
      </c>
      <c r="H6" s="110">
        <f>'Assumption and Drivers'!H43*'Assumption and Drivers'!H36</f>
        <v>147488.83160549996</v>
      </c>
      <c r="I6" s="110">
        <f>'Assumption and Drivers'!I43*'Assumption and Drivers'!I36</f>
        <v>155140.11883302699</v>
      </c>
      <c r="J6" s="110">
        <f>'Assumption and Drivers'!J43*'Assumption and Drivers'!J36</f>
        <v>162406.84537249373</v>
      </c>
      <c r="K6" s="110">
        <f>'Assumption and Drivers'!K43*'Assumption and Drivers'!K36</f>
        <v>169139.06562305556</v>
      </c>
      <c r="L6" s="110">
        <f>'Assumption and Drivers'!L43*'Assumption and Drivers'!L36</f>
        <v>176048.19302189152</v>
      </c>
    </row>
    <row r="7" spans="2:12" ht="15.5" x14ac:dyDescent="0.35">
      <c r="B7" s="115" t="s">
        <v>321</v>
      </c>
      <c r="C7" s="115"/>
      <c r="D7" s="116">
        <f t="shared" ref="D7:L7" si="0">D5-D6</f>
        <v>58993.707385999995</v>
      </c>
      <c r="E7" s="116">
        <f t="shared" si="0"/>
        <v>85205.696003999998</v>
      </c>
      <c r="F7" s="116">
        <f t="shared" si="0"/>
        <v>82915.214199999988</v>
      </c>
      <c r="G7" s="116">
        <f t="shared" si="0"/>
        <v>91045.30799999999</v>
      </c>
      <c r="H7" s="116">
        <f t="shared" si="0"/>
        <v>98736.262894499989</v>
      </c>
      <c r="I7" s="116">
        <f t="shared" si="0"/>
        <v>106478.96857511296</v>
      </c>
      <c r="J7" s="116">
        <f t="shared" si="0"/>
        <v>114265.80432511057</v>
      </c>
      <c r="K7" s="116">
        <f t="shared" si="0"/>
        <v>121477.88561930798</v>
      </c>
      <c r="L7" s="116">
        <f t="shared" si="0"/>
        <v>130122.57745096332</v>
      </c>
    </row>
    <row r="8" spans="2:12" x14ac:dyDescent="0.35">
      <c r="B8" s="47" t="s">
        <v>322</v>
      </c>
      <c r="C8" s="47"/>
      <c r="D8" s="78">
        <f>'Assumption and Drivers'!D55*'Assumption and Drivers'!D36</f>
        <v>19057.595406</v>
      </c>
      <c r="E8" s="78">
        <f>'Assumption and Drivers'!E55*'Assumption and Drivers'!E36</f>
        <v>24544.190537999999</v>
      </c>
      <c r="F8" s="78">
        <f>'Assumption and Drivers'!F55*'Assumption and Drivers'!F36</f>
        <v>24892.047699999999</v>
      </c>
      <c r="G8" s="78">
        <f>'Assumption and Drivers'!G55*'Assumption and Drivers'!G36</f>
        <v>25999.68</v>
      </c>
      <c r="H8" s="78">
        <f>'Assumption and Drivers'!H55*'Assumption and Drivers'!H36</f>
        <v>27330.985489499995</v>
      </c>
      <c r="I8" s="78">
        <f>'Assumption and Drivers'!I55*'Assumption and Drivers'!I36</f>
        <v>28778.099614895396</v>
      </c>
      <c r="J8" s="78">
        <f>'Assumption and Drivers'!J55*'Assumption and Drivers'!J36</f>
        <v>30157.318817038868</v>
      </c>
      <c r="K8" s="78">
        <f>'Assumption and Drivers'!K55*'Assumption and Drivers'!K36</f>
        <v>31386.630734175262</v>
      </c>
      <c r="L8" s="78">
        <f>'Assumption and Drivers'!L55*'Assumption and Drivers'!L36</f>
        <v>32760.272440595469</v>
      </c>
    </row>
    <row r="9" spans="2:12" ht="15" thickBot="1" x14ac:dyDescent="0.4">
      <c r="B9" s="109" t="s">
        <v>323</v>
      </c>
      <c r="C9" s="109"/>
      <c r="D9" s="110">
        <f>'Assumption and Drivers'!D56*'Assumption and Drivers'!D36</f>
        <v>7552.6843900000003</v>
      </c>
      <c r="E9" s="110">
        <f>'Assumption and Drivers'!E56*'Assumption and Drivers'!E36</f>
        <v>10748.109581999999</v>
      </c>
      <c r="F9" s="110">
        <f>'Assumption and Drivers'!F56*'Assumption and Drivers'!F36</f>
        <v>10730.461299999999</v>
      </c>
      <c r="G9" s="110">
        <f>'Assumption and Drivers'!G56*'Assumption and Drivers'!G36</f>
        <v>13858.758</v>
      </c>
      <c r="H9" s="110">
        <f>'Assumption and Drivers'!H56*'Assumption and Drivers'!H36</f>
        <v>15512.180953499997</v>
      </c>
      <c r="I9" s="110">
        <f>'Assumption and Drivers'!I56*'Assumption and Drivers'!I36</f>
        <v>16220.383419304677</v>
      </c>
      <c r="J9" s="110">
        <f>'Assumption and Drivers'!J56*'Assumption and Drivers'!J36</f>
        <v>16877.031631553862</v>
      </c>
      <c r="K9" s="110">
        <f>'Assumption and Drivers'!K56*'Assumption and Drivers'!K36</f>
        <v>17437.017074541811</v>
      </c>
      <c r="L9" s="110">
        <f>'Assumption and Drivers'!L56*'Assumption and Drivers'!L36</f>
        <v>18064.075457898434</v>
      </c>
    </row>
    <row r="10" spans="2:12" ht="15.5" x14ac:dyDescent="0.35">
      <c r="B10" s="115" t="s">
        <v>324</v>
      </c>
      <c r="C10" s="115"/>
      <c r="D10" s="116">
        <f t="shared" ref="D10:L10" si="1">D7-D8-D9</f>
        <v>32383.427589999992</v>
      </c>
      <c r="E10" s="116">
        <f t="shared" si="1"/>
        <v>49913.395884000005</v>
      </c>
      <c r="F10" s="116">
        <f t="shared" si="1"/>
        <v>47292.705199999997</v>
      </c>
      <c r="G10" s="116">
        <f t="shared" si="1"/>
        <v>51186.869999999988</v>
      </c>
      <c r="H10" s="116">
        <f t="shared" si="1"/>
        <v>55893.096451500001</v>
      </c>
      <c r="I10" s="116">
        <f t="shared" si="1"/>
        <v>61480.48554091288</v>
      </c>
      <c r="J10" s="116">
        <f t="shared" si="1"/>
        <v>67231.453876517829</v>
      </c>
      <c r="K10" s="116">
        <f t="shared" si="1"/>
        <v>72654.237810590901</v>
      </c>
      <c r="L10" s="116">
        <f t="shared" si="1"/>
        <v>79298.22955246942</v>
      </c>
    </row>
    <row r="11" spans="2:12" ht="15" thickBot="1" x14ac:dyDescent="0.4">
      <c r="B11" s="113" t="s">
        <v>325</v>
      </c>
      <c r="C11" s="113"/>
      <c r="D11" s="114">
        <f>'Assumption and Drivers'!D70</f>
        <v>9335.2000000000007</v>
      </c>
      <c r="E11" s="114">
        <f>'Assumption and Drivers'!E70</f>
        <v>9882.16</v>
      </c>
      <c r="F11" s="114">
        <f>'Assumption and Drivers'!F70</f>
        <v>10421.33</v>
      </c>
      <c r="G11" s="114">
        <f>'Assumption and Drivers'!G70</f>
        <v>11954.51</v>
      </c>
      <c r="H11" s="114">
        <f>'Assumption and Drivers'!H70</f>
        <v>13049.930008499998</v>
      </c>
      <c r="I11" s="114">
        <f>'Assumption and Drivers'!I70</f>
        <v>13996.621176335488</v>
      </c>
      <c r="J11" s="114">
        <f>'Assumption and Drivers'!J70</f>
        <v>14940.323083670632</v>
      </c>
      <c r="K11" s="114">
        <f>'Assumption and Drivers'!K70</f>
        <v>15838.623842708814</v>
      </c>
      <c r="L11" s="114">
        <f>'Assumption and Drivers'!L70</f>
        <v>16839.392376007017</v>
      </c>
    </row>
    <row r="12" spans="2:12" ht="15.5" x14ac:dyDescent="0.35">
      <c r="B12" s="115" t="s">
        <v>109</v>
      </c>
      <c r="C12" s="115"/>
      <c r="D12" s="116">
        <f t="shared" ref="D12:L12" si="2">D10-D11</f>
        <v>23048.227589999991</v>
      </c>
      <c r="E12" s="116">
        <f t="shared" si="2"/>
        <v>40031.235884000009</v>
      </c>
      <c r="F12" s="116">
        <f t="shared" si="2"/>
        <v>36871.375199999995</v>
      </c>
      <c r="G12" s="116">
        <f t="shared" si="2"/>
        <v>39232.359999999986</v>
      </c>
      <c r="H12" s="116">
        <f t="shared" si="2"/>
        <v>42843.166443000002</v>
      </c>
      <c r="I12" s="116">
        <f t="shared" si="2"/>
        <v>47483.864364577392</v>
      </c>
      <c r="J12" s="116">
        <f t="shared" si="2"/>
        <v>52291.130792847194</v>
      </c>
      <c r="K12" s="116">
        <f t="shared" si="2"/>
        <v>56815.613967882091</v>
      </c>
      <c r="L12" s="116">
        <f t="shared" si="2"/>
        <v>62458.837176462403</v>
      </c>
    </row>
    <row r="13" spans="2:12" ht="15" thickBot="1" x14ac:dyDescent="0.4">
      <c r="B13" s="109" t="s">
        <v>326</v>
      </c>
      <c r="C13" s="109"/>
      <c r="D13" s="114">
        <f>'Assumption and Drivers'!D112</f>
        <v>6298.7</v>
      </c>
      <c r="E13" s="114">
        <f>'Assumption and Drivers'!E112</f>
        <v>7507.57</v>
      </c>
      <c r="F13" s="114">
        <f>'Assumption and Drivers'!F112</f>
        <v>7340.95</v>
      </c>
      <c r="G13" s="114">
        <f>'Assumption and Drivers'!G112</f>
        <v>7167.06</v>
      </c>
      <c r="H13" s="114">
        <f>'Assumption and Drivers'!H112</f>
        <v>6896.75965</v>
      </c>
      <c r="I13" s="114">
        <f>'Assumption and Drivers'!I112</f>
        <v>6676.3994849999999</v>
      </c>
      <c r="J13" s="114">
        <f>'Assumption and Drivers'!J112</f>
        <v>6494.732</v>
      </c>
      <c r="K13" s="114">
        <f>'Assumption and Drivers'!K112</f>
        <v>6429.7848000000004</v>
      </c>
      <c r="L13" s="114">
        <f>'Assumption and Drivers'!L112</f>
        <v>6397.4743999999992</v>
      </c>
    </row>
    <row r="14" spans="2:12" ht="15.5" x14ac:dyDescent="0.35">
      <c r="B14" s="115" t="s">
        <v>327</v>
      </c>
      <c r="C14" s="115"/>
      <c r="D14" s="116">
        <f t="shared" ref="D14:L14" si="3">D12-D13</f>
        <v>16749.527589999991</v>
      </c>
      <c r="E14" s="116">
        <f t="shared" si="3"/>
        <v>32523.665884000009</v>
      </c>
      <c r="F14" s="116">
        <f t="shared" si="3"/>
        <v>29530.425199999994</v>
      </c>
      <c r="G14" s="116">
        <f t="shared" si="3"/>
        <v>32065.299999999985</v>
      </c>
      <c r="H14" s="116">
        <f t="shared" si="3"/>
        <v>35946.406793000002</v>
      </c>
      <c r="I14" s="116">
        <f t="shared" si="3"/>
        <v>40807.46487957739</v>
      </c>
      <c r="J14" s="116">
        <f t="shared" si="3"/>
        <v>45796.398792847191</v>
      </c>
      <c r="K14" s="116">
        <f t="shared" si="3"/>
        <v>50385.82916788209</v>
      </c>
      <c r="L14" s="116">
        <f t="shared" si="3"/>
        <v>56061.362776462403</v>
      </c>
    </row>
    <row r="15" spans="2:12" ht="15" thickBot="1" x14ac:dyDescent="0.4">
      <c r="B15" s="111" t="s">
        <v>328</v>
      </c>
      <c r="C15" s="111"/>
      <c r="D15" s="112">
        <f t="shared" ref="D15:L15" si="4">D14*30%</f>
        <v>5024.8582769999966</v>
      </c>
      <c r="E15" s="112">
        <f t="shared" si="4"/>
        <v>9757.0997652000024</v>
      </c>
      <c r="F15" s="112">
        <f t="shared" si="4"/>
        <v>8859.1275599999972</v>
      </c>
      <c r="G15" s="112">
        <f t="shared" si="4"/>
        <v>9619.5899999999947</v>
      </c>
      <c r="H15" s="112">
        <f t="shared" si="4"/>
        <v>10783.9220379</v>
      </c>
      <c r="I15" s="112">
        <f t="shared" si="4"/>
        <v>12242.239463873217</v>
      </c>
      <c r="J15" s="112">
        <f t="shared" si="4"/>
        <v>13738.919637854156</v>
      </c>
      <c r="K15" s="112">
        <f t="shared" si="4"/>
        <v>15115.748750364626</v>
      </c>
      <c r="L15" s="112">
        <f t="shared" si="4"/>
        <v>16818.40883293872</v>
      </c>
    </row>
    <row r="16" spans="2:12" ht="16" thickBot="1" x14ac:dyDescent="0.4">
      <c r="B16" s="117" t="s">
        <v>329</v>
      </c>
      <c r="C16" s="117"/>
      <c r="D16" s="118">
        <f t="shared" ref="D16:L16" si="5">D14-D15</f>
        <v>11724.669312999995</v>
      </c>
      <c r="E16" s="118">
        <f t="shared" si="5"/>
        <v>22766.566118800009</v>
      </c>
      <c r="F16" s="118">
        <f t="shared" si="5"/>
        <v>20671.297639999997</v>
      </c>
      <c r="G16" s="118">
        <f t="shared" si="5"/>
        <v>22445.709999999992</v>
      </c>
      <c r="H16" s="118">
        <f t="shared" si="5"/>
        <v>25162.484755100002</v>
      </c>
      <c r="I16" s="118">
        <f t="shared" si="5"/>
        <v>28565.225415704175</v>
      </c>
      <c r="J16" s="118">
        <f t="shared" si="5"/>
        <v>32057.479154993034</v>
      </c>
      <c r="K16" s="118">
        <f t="shared" si="5"/>
        <v>35270.080417517464</v>
      </c>
      <c r="L16" s="118">
        <f t="shared" si="5"/>
        <v>39242.95394352368</v>
      </c>
    </row>
    <row r="17" spans="2:12" ht="15" thickTop="1" x14ac:dyDescent="0.35"/>
    <row r="18" spans="2:12" x14ac:dyDescent="0.35">
      <c r="B18" s="48" t="s">
        <v>330</v>
      </c>
      <c r="C18" s="48"/>
      <c r="D18" s="85" t="s">
        <v>237</v>
      </c>
      <c r="E18" s="85" t="s">
        <v>238</v>
      </c>
      <c r="F18" s="85" t="s">
        <v>239</v>
      </c>
      <c r="G18" s="85" t="s">
        <v>240</v>
      </c>
      <c r="H18" s="86" t="s">
        <v>241</v>
      </c>
      <c r="I18" s="86" t="s">
        <v>242</v>
      </c>
      <c r="J18" s="86" t="s">
        <v>243</v>
      </c>
      <c r="K18" s="86" t="s">
        <v>244</v>
      </c>
      <c r="L18" s="86" t="s">
        <v>315</v>
      </c>
    </row>
    <row r="20" spans="2:12" x14ac:dyDescent="0.35">
      <c r="B20" s="47" t="s">
        <v>126</v>
      </c>
      <c r="C20" s="47"/>
      <c r="D20" s="69">
        <v>0</v>
      </c>
      <c r="E20" s="69">
        <f t="shared" ref="E20:L22" si="6">E5/D5-1</f>
        <v>0.10751794171025852</v>
      </c>
      <c r="F20" s="69">
        <f t="shared" si="6"/>
        <v>-4.6374934884805152E-2</v>
      </c>
      <c r="G20" s="69">
        <f t="shared" si="6"/>
        <v>6.2216588955034124E-2</v>
      </c>
      <c r="H20" s="69">
        <f t="shared" si="6"/>
        <v>6.0674999999999812E-2</v>
      </c>
      <c r="I20" s="69">
        <f t="shared" si="6"/>
        <v>6.2520000000000131E-2</v>
      </c>
      <c r="J20" s="69">
        <f t="shared" si="6"/>
        <v>5.7539999999999925E-2</v>
      </c>
      <c r="K20" s="69">
        <f t="shared" si="6"/>
        <v>5.04E-2</v>
      </c>
      <c r="L20" s="69">
        <f t="shared" si="6"/>
        <v>5.3520000000000012E-2</v>
      </c>
    </row>
    <row r="21" spans="2:12" x14ac:dyDescent="0.35">
      <c r="B21" s="47" t="s">
        <v>320</v>
      </c>
      <c r="C21" s="47"/>
      <c r="D21" s="69">
        <v>0</v>
      </c>
      <c r="E21" s="69">
        <f t="shared" si="6"/>
        <v>-2.6797075140041482E-2</v>
      </c>
      <c r="F21" s="69">
        <f t="shared" si="6"/>
        <v>-5.7911946178780704E-2</v>
      </c>
      <c r="G21" s="69">
        <f t="shared" si="6"/>
        <v>4.0308157858313987E-2</v>
      </c>
      <c r="H21" s="69">
        <f t="shared" si="6"/>
        <v>4.5318073379400747E-2</v>
      </c>
      <c r="I21" s="69">
        <f t="shared" si="6"/>
        <v>5.187706176961604E-2</v>
      </c>
      <c r="J21" s="69">
        <f t="shared" si="6"/>
        <v>4.6839763912310151E-2</v>
      </c>
      <c r="K21" s="69">
        <f t="shared" si="6"/>
        <v>4.1452810902895987E-2</v>
      </c>
      <c r="L21" s="69">
        <f t="shared" si="6"/>
        <v>4.0848797250859104E-2</v>
      </c>
    </row>
    <row r="22" spans="2:12" x14ac:dyDescent="0.35">
      <c r="B22" s="47" t="s">
        <v>321</v>
      </c>
      <c r="C22" s="47"/>
      <c r="D22" s="69">
        <v>0</v>
      </c>
      <c r="E22" s="69">
        <f t="shared" si="6"/>
        <v>0.44431838206900798</v>
      </c>
      <c r="F22" s="69">
        <f t="shared" si="6"/>
        <v>-2.6881792079868516E-2</v>
      </c>
      <c r="G22" s="69">
        <f t="shared" si="6"/>
        <v>9.8053100126948678E-2</v>
      </c>
      <c r="H22" s="69">
        <f t="shared" si="6"/>
        <v>8.4473929117796942E-2</v>
      </c>
      <c r="I22" s="69">
        <f t="shared" si="6"/>
        <v>7.8418054862842812E-2</v>
      </c>
      <c r="J22" s="69">
        <f t="shared" si="6"/>
        <v>7.3130270270270081E-2</v>
      </c>
      <c r="K22" s="69">
        <f t="shared" si="6"/>
        <v>6.3116707021791951E-2</v>
      </c>
      <c r="L22" s="69">
        <f t="shared" si="6"/>
        <v>7.1162679425837316E-2</v>
      </c>
    </row>
    <row r="23" spans="2:12" x14ac:dyDescent="0.35">
      <c r="B23" s="47" t="s">
        <v>324</v>
      </c>
      <c r="C23" s="47"/>
      <c r="D23" s="69">
        <v>0</v>
      </c>
      <c r="E23" s="69">
        <f t="shared" ref="E23:L23" si="7">E10/D10-1</f>
        <v>0.54132528884660958</v>
      </c>
      <c r="F23" s="69">
        <f t="shared" si="7"/>
        <v>-5.2504756239999395E-2</v>
      </c>
      <c r="G23" s="69">
        <f t="shared" si="7"/>
        <v>8.2341764623775182E-2</v>
      </c>
      <c r="H23" s="69">
        <f t="shared" si="7"/>
        <v>9.1942063492063797E-2</v>
      </c>
      <c r="I23" s="69">
        <f t="shared" si="7"/>
        <v>9.9965638766519538E-2</v>
      </c>
      <c r="J23" s="69">
        <f t="shared" si="7"/>
        <v>9.3541361702127457E-2</v>
      </c>
      <c r="K23" s="69">
        <f t="shared" si="7"/>
        <v>8.0658436213992157E-2</v>
      </c>
      <c r="L23" s="69">
        <f t="shared" si="7"/>
        <v>9.1446719999999981E-2</v>
      </c>
    </row>
    <row r="24" spans="2:12" x14ac:dyDescent="0.35">
      <c r="B24" s="47" t="s">
        <v>109</v>
      </c>
      <c r="C24" s="47"/>
      <c r="D24" s="69">
        <v>0</v>
      </c>
      <c r="E24" s="69">
        <f t="shared" ref="E24:L24" si="8">E12/D12-1</f>
        <v>0.73684660686744041</v>
      </c>
      <c r="F24" s="69">
        <f t="shared" si="8"/>
        <v>-7.8934877083397081E-2</v>
      </c>
      <c r="G24" s="69">
        <f t="shared" si="8"/>
        <v>6.403300086295638E-2</v>
      </c>
      <c r="H24" s="69">
        <f t="shared" si="8"/>
        <v>9.203643224623792E-2</v>
      </c>
      <c r="I24" s="69">
        <f t="shared" si="8"/>
        <v>0.10831827586206844</v>
      </c>
      <c r="J24" s="69">
        <f t="shared" si="8"/>
        <v>0.10123999999999977</v>
      </c>
      <c r="K24" s="69">
        <f t="shared" si="8"/>
        <v>8.6524867724868448E-2</v>
      </c>
      <c r="L24" s="69">
        <f t="shared" si="8"/>
        <v>9.9325217391304177E-2</v>
      </c>
    </row>
    <row r="25" spans="2:12" x14ac:dyDescent="0.35">
      <c r="B25" s="47" t="s">
        <v>327</v>
      </c>
      <c r="C25" s="47"/>
      <c r="D25" s="69">
        <v>0</v>
      </c>
      <c r="E25" s="69">
        <f t="shared" ref="E25:L25" si="9">E14/D14-1</f>
        <v>0.94176616082101861</v>
      </c>
      <c r="F25" s="69">
        <f t="shared" si="9"/>
        <v>-9.2032696888346033E-2</v>
      </c>
      <c r="G25" s="69">
        <f t="shared" si="9"/>
        <v>8.5839427737057772E-2</v>
      </c>
      <c r="H25" s="69">
        <f t="shared" si="9"/>
        <v>0.12103759493907806</v>
      </c>
      <c r="I25" s="69">
        <f t="shared" si="9"/>
        <v>0.13523070927701197</v>
      </c>
      <c r="J25" s="69">
        <f t="shared" si="9"/>
        <v>0.12225542380523069</v>
      </c>
      <c r="K25" s="69">
        <f t="shared" si="9"/>
        <v>0.10021378309230089</v>
      </c>
      <c r="L25" s="69">
        <f t="shared" si="9"/>
        <v>0.11264146491803939</v>
      </c>
    </row>
    <row r="26" spans="2:12" x14ac:dyDescent="0.35">
      <c r="B26" s="47" t="s">
        <v>329</v>
      </c>
      <c r="C26" s="47"/>
      <c r="D26" s="69">
        <v>0</v>
      </c>
      <c r="E26" s="69">
        <f t="shared" ref="E26:L26" si="10">E16/D16-1</f>
        <v>0.94176616082101861</v>
      </c>
      <c r="F26" s="69">
        <f t="shared" si="10"/>
        <v>-9.2032696888346144E-2</v>
      </c>
      <c r="G26" s="69">
        <f t="shared" si="10"/>
        <v>8.5839427737057772E-2</v>
      </c>
      <c r="H26" s="69">
        <f t="shared" si="10"/>
        <v>0.12103759493907784</v>
      </c>
      <c r="I26" s="69">
        <f t="shared" si="10"/>
        <v>0.13523070927701197</v>
      </c>
      <c r="J26" s="69">
        <f t="shared" si="10"/>
        <v>0.12225542380523069</v>
      </c>
      <c r="K26" s="69">
        <f t="shared" si="10"/>
        <v>0.10021378309230089</v>
      </c>
      <c r="L26" s="69">
        <f t="shared" si="10"/>
        <v>0.11264146491803917</v>
      </c>
    </row>
  </sheetData>
  <mergeCells count="1">
    <mergeCell ref="B1: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B390A-941C-48B2-88FE-9DBB0C626B04}">
  <sheetPr codeName="Sheet8">
    <pageSetUpPr fitToPage="1"/>
  </sheetPr>
  <dimension ref="A1:O27"/>
  <sheetViews>
    <sheetView showGridLines="0" topLeftCell="A14" zoomScale="82" workbookViewId="0">
      <selection activeCell="M26" sqref="M26"/>
    </sheetView>
  </sheetViews>
  <sheetFormatPr defaultRowHeight="14.5" x14ac:dyDescent="0.35"/>
  <cols>
    <col min="1" max="1" width="1.90625" style="253" customWidth="1"/>
    <col min="2" max="2" width="29" style="253" customWidth="1"/>
    <col min="3" max="3" width="5.81640625" style="253" bestFit="1" customWidth="1"/>
    <col min="4" max="4" width="11.6328125" style="253" customWidth="1"/>
    <col min="5" max="6" width="12" style="253" bestFit="1" customWidth="1"/>
    <col min="7" max="7" width="12.453125" style="253" customWidth="1"/>
    <col min="8" max="8" width="8.7265625" style="253"/>
    <col min="9" max="9" width="11.36328125" style="253" bestFit="1" customWidth="1"/>
    <col min="10" max="10" width="10.453125" style="253" bestFit="1" customWidth="1"/>
    <col min="11" max="11" width="9.90625" style="253" bestFit="1" customWidth="1"/>
    <col min="12" max="12" width="8.7265625" style="253"/>
    <col min="13" max="13" width="12.1796875" style="253" bestFit="1" customWidth="1"/>
    <col min="14" max="14" width="11.1796875" style="253" customWidth="1"/>
    <col min="15" max="15" width="11.54296875" style="253" customWidth="1"/>
  </cols>
  <sheetData>
    <row r="1" spans="2:15" ht="14.4" customHeight="1" x14ac:dyDescent="0.35">
      <c r="B1" s="305" t="s">
        <v>138</v>
      </c>
      <c r="C1" s="305"/>
      <c r="D1" s="305"/>
      <c r="E1" s="305"/>
      <c r="F1" s="305"/>
      <c r="G1" s="305"/>
      <c r="H1" s="305"/>
      <c r="I1" s="305"/>
      <c r="J1" s="305"/>
      <c r="K1" s="305"/>
      <c r="L1" s="305"/>
      <c r="M1" s="305"/>
      <c r="N1" s="305"/>
      <c r="O1" s="305"/>
    </row>
    <row r="2" spans="2:15" ht="15" customHeight="1" x14ac:dyDescent="0.35">
      <c r="B2" s="305"/>
      <c r="C2" s="305"/>
      <c r="D2" s="305"/>
      <c r="E2" s="305"/>
      <c r="F2" s="305"/>
      <c r="G2" s="305"/>
      <c r="H2" s="305"/>
      <c r="I2" s="305"/>
      <c r="J2" s="305"/>
      <c r="K2" s="305"/>
      <c r="L2" s="305"/>
      <c r="M2" s="305"/>
      <c r="N2" s="305"/>
      <c r="O2" s="305"/>
    </row>
    <row r="4" spans="2:15" ht="15" thickBot="1" x14ac:dyDescent="0.4">
      <c r="B4" s="48"/>
      <c r="C4" s="242" t="s">
        <v>139</v>
      </c>
      <c r="D4" s="242"/>
      <c r="E4" s="242"/>
      <c r="F4" s="242"/>
      <c r="G4" s="242"/>
      <c r="H4" s="48"/>
      <c r="I4" s="242" t="s">
        <v>140</v>
      </c>
      <c r="J4" s="242"/>
      <c r="K4" s="242"/>
      <c r="L4" s="48"/>
      <c r="M4" s="242" t="s">
        <v>141</v>
      </c>
      <c r="N4" s="242"/>
      <c r="O4" s="242"/>
    </row>
    <row r="5" spans="2:15" ht="29.5" thickBot="1" x14ac:dyDescent="0.4">
      <c r="B5" s="49" t="s">
        <v>142</v>
      </c>
      <c r="C5" s="49" t="s">
        <v>143</v>
      </c>
      <c r="D5" s="49" t="s">
        <v>144</v>
      </c>
      <c r="E5" s="49" t="s">
        <v>145</v>
      </c>
      <c r="F5" s="49" t="s">
        <v>146</v>
      </c>
      <c r="G5" s="49" t="s">
        <v>147</v>
      </c>
      <c r="H5" s="50"/>
      <c r="I5" s="50" t="s">
        <v>126</v>
      </c>
      <c r="J5" s="50" t="s">
        <v>148</v>
      </c>
      <c r="K5" s="50" t="s">
        <v>365</v>
      </c>
      <c r="L5" s="50"/>
      <c r="M5" s="49" t="s">
        <v>149</v>
      </c>
      <c r="N5" s="49" t="s">
        <v>163</v>
      </c>
      <c r="O5" s="49" t="s">
        <v>416</v>
      </c>
    </row>
    <row r="6" spans="2:15" ht="15" thickTop="1" x14ac:dyDescent="0.35">
      <c r="B6" s="51" t="s">
        <v>158</v>
      </c>
      <c r="C6" s="51">
        <v>185</v>
      </c>
      <c r="D6" s="51">
        <v>1247</v>
      </c>
      <c r="E6" s="52">
        <f>C6*D6</f>
        <v>230695</v>
      </c>
      <c r="F6" s="52">
        <f>'Balance Sheet'!K7-'Data Sheet'!K69</f>
        <v>82324.149999999994</v>
      </c>
      <c r="G6" s="52">
        <f>E6+F6</f>
        <v>313019.15000000002</v>
      </c>
      <c r="H6" s="51"/>
      <c r="I6" s="52">
        <f>'Profit &amp; Loss'!K4</f>
        <v>232139.94</v>
      </c>
      <c r="J6" s="52">
        <f>'Profit &amp; Loss'!K10+'Profit &amp; Loss'!K9+'Profit &amp; Loss'!K8-'Profit &amp; Loss'!K7</f>
        <v>34352.44</v>
      </c>
      <c r="K6" s="52">
        <v>24168</v>
      </c>
      <c r="L6" s="51"/>
      <c r="M6" s="306">
        <f>G6/J6</f>
        <v>9.1119917537153103</v>
      </c>
      <c r="N6" s="306">
        <f>G6/I6</f>
        <v>1.3484071289068138</v>
      </c>
      <c r="O6" s="307">
        <f>G6/K6</f>
        <v>12.951801969546509</v>
      </c>
    </row>
    <row r="7" spans="2:15" x14ac:dyDescent="0.35">
      <c r="B7" s="246" t="s">
        <v>159</v>
      </c>
      <c r="C7" s="246">
        <v>1289</v>
      </c>
      <c r="D7" s="308">
        <v>245</v>
      </c>
      <c r="E7" s="308">
        <f>C7*D7</f>
        <v>315805</v>
      </c>
      <c r="F7" s="308">
        <f>99310-40989</f>
        <v>58321</v>
      </c>
      <c r="G7" s="308">
        <f>E7+F7</f>
        <v>374126</v>
      </c>
      <c r="H7" s="308"/>
      <c r="I7" s="308">
        <f>189687</f>
        <v>189687</v>
      </c>
      <c r="J7" s="308">
        <f>30712</f>
        <v>30712</v>
      </c>
      <c r="K7" s="308">
        <v>16808</v>
      </c>
      <c r="L7" s="309"/>
      <c r="M7" s="310">
        <f t="shared" ref="M7:M9" si="0">G7/J7</f>
        <v>12.181753060692889</v>
      </c>
      <c r="N7" s="310">
        <f t="shared" ref="N7:N10" si="1">G7/I7</f>
        <v>1.9723333702362313</v>
      </c>
      <c r="O7" s="310">
        <f t="shared" ref="O7:O10" si="2">G7/K7</f>
        <v>22.258805330794861</v>
      </c>
    </row>
    <row r="8" spans="2:15" x14ac:dyDescent="0.35">
      <c r="B8" s="311" t="s">
        <v>160</v>
      </c>
      <c r="C8" s="246">
        <v>171</v>
      </c>
      <c r="D8" s="308">
        <v>413</v>
      </c>
      <c r="E8" s="308">
        <f>C8*D8</f>
        <v>70623</v>
      </c>
      <c r="F8" s="308">
        <f>31927.71-732.51</f>
        <v>31195.200000000001</v>
      </c>
      <c r="G8" s="308">
        <f>E8+F8</f>
        <v>101818.2</v>
      </c>
      <c r="H8" s="308"/>
      <c r="I8" s="308">
        <f>111134.75</f>
        <v>111134.75</v>
      </c>
      <c r="J8" s="308">
        <f>13319.56</f>
        <v>13319.56</v>
      </c>
      <c r="K8" s="308">
        <v>8151</v>
      </c>
      <c r="L8" s="309"/>
      <c r="M8" s="310">
        <f t="shared" si="0"/>
        <v>7.6442615221523837</v>
      </c>
      <c r="N8" s="310">
        <f t="shared" si="1"/>
        <v>0.9161688850697014</v>
      </c>
      <c r="O8" s="310">
        <f t="shared" si="2"/>
        <v>12.491497975708501</v>
      </c>
    </row>
    <row r="9" spans="2:15" x14ac:dyDescent="0.35">
      <c r="B9" s="246" t="s">
        <v>161</v>
      </c>
      <c r="C9" s="246">
        <v>1132</v>
      </c>
      <c r="D9" s="308">
        <v>102</v>
      </c>
      <c r="E9" s="308">
        <f t="shared" ref="E9:E10" si="3">C9*D9</f>
        <v>115464</v>
      </c>
      <c r="F9" s="308">
        <f>22609.55-4141.6</f>
        <v>18467.949999999997</v>
      </c>
      <c r="G9" s="308">
        <f t="shared" ref="G9:G10" si="4">E9+F9</f>
        <v>133931.95000000001</v>
      </c>
      <c r="H9" s="308"/>
      <c r="I9" s="308">
        <f>56412.57</f>
        <v>56412.57</v>
      </c>
      <c r="J9" s="308">
        <f>9972.62</f>
        <v>9972.6200000000008</v>
      </c>
      <c r="K9" s="308">
        <v>9230</v>
      </c>
      <c r="L9" s="309"/>
      <c r="M9" s="310">
        <f t="shared" si="0"/>
        <v>13.42996624758589</v>
      </c>
      <c r="N9" s="310">
        <f t="shared" si="1"/>
        <v>2.3741508319865594</v>
      </c>
      <c r="O9" s="310">
        <f t="shared" si="2"/>
        <v>14.510503791982666</v>
      </c>
    </row>
    <row r="10" spans="2:15" x14ac:dyDescent="0.35">
      <c r="B10" s="246" t="s">
        <v>162</v>
      </c>
      <c r="C10" s="246">
        <v>695</v>
      </c>
      <c r="D10" s="308">
        <v>82.5</v>
      </c>
      <c r="E10" s="308">
        <f t="shared" si="3"/>
        <v>57337.5</v>
      </c>
      <c r="F10" s="308">
        <f>7460.33-2934.03</f>
        <v>4526.2999999999993</v>
      </c>
      <c r="G10" s="308">
        <f t="shared" si="4"/>
        <v>61863.8</v>
      </c>
      <c r="H10" s="308"/>
      <c r="I10" s="308">
        <f>42954.66</f>
        <v>42954.66</v>
      </c>
      <c r="J10" s="308">
        <f>5928.64</f>
        <v>5928.64</v>
      </c>
      <c r="K10" s="308">
        <f>5020</f>
        <v>5020</v>
      </c>
      <c r="L10" s="309"/>
      <c r="M10" s="310">
        <f t="shared" ref="M10" si="5">G10/J10</f>
        <v>10.434737140389702</v>
      </c>
      <c r="N10" s="310">
        <f t="shared" si="1"/>
        <v>1.4402116091711585</v>
      </c>
      <c r="O10" s="310">
        <f t="shared" si="2"/>
        <v>12.323466135458167</v>
      </c>
    </row>
    <row r="12" spans="2:15" x14ac:dyDescent="0.35">
      <c r="B12" s="312" t="s">
        <v>150</v>
      </c>
      <c r="C12" s="312"/>
      <c r="D12" s="312"/>
      <c r="E12" s="312"/>
      <c r="F12" s="312"/>
      <c r="G12" s="312"/>
      <c r="H12" s="312"/>
      <c r="I12" s="312"/>
      <c r="J12" s="312"/>
      <c r="K12" s="312"/>
      <c r="L12" s="312"/>
      <c r="M12" s="313">
        <f>MAX(M7:M10)</f>
        <v>13.42996624758589</v>
      </c>
      <c r="N12" s="313">
        <f t="shared" ref="N12:O12" si="6">MAX(N7:N10)</f>
        <v>2.3741508319865594</v>
      </c>
      <c r="O12" s="313">
        <f t="shared" si="6"/>
        <v>22.258805330794861</v>
      </c>
    </row>
    <row r="13" spans="2:15" x14ac:dyDescent="0.35">
      <c r="B13" s="312" t="s">
        <v>151</v>
      </c>
      <c r="C13" s="312"/>
      <c r="D13" s="312"/>
      <c r="E13" s="312"/>
      <c r="F13" s="312"/>
      <c r="G13" s="312"/>
      <c r="H13" s="312"/>
      <c r="I13" s="312"/>
      <c r="J13" s="312"/>
      <c r="K13" s="312"/>
      <c r="L13" s="312"/>
      <c r="M13" s="313">
        <f>QUARTILE(M7:M10,3)</f>
        <v>12.49380635741614</v>
      </c>
      <c r="N13" s="313">
        <f t="shared" ref="N13:O13" si="7">QUARTILE(N7:N10,3)</f>
        <v>2.0727877356738134</v>
      </c>
      <c r="O13" s="313">
        <f t="shared" si="7"/>
        <v>16.447579176685714</v>
      </c>
    </row>
    <row r="14" spans="2:15" x14ac:dyDescent="0.35">
      <c r="B14" s="314" t="s">
        <v>137</v>
      </c>
      <c r="C14" s="314"/>
      <c r="D14" s="314"/>
      <c r="E14" s="314"/>
      <c r="F14" s="314"/>
      <c r="G14" s="314"/>
      <c r="H14" s="314"/>
      <c r="I14" s="314"/>
      <c r="J14" s="314"/>
      <c r="K14" s="314"/>
      <c r="L14" s="314"/>
      <c r="M14" s="315">
        <f>AVERAGE(M7:M10)</f>
        <v>10.922679492705216</v>
      </c>
      <c r="N14" s="315">
        <f t="shared" ref="N14:O14" si="8">AVERAGE(N7:N10)</f>
        <v>1.6757161741159126</v>
      </c>
      <c r="O14" s="315">
        <f t="shared" si="8"/>
        <v>15.396068308486049</v>
      </c>
    </row>
    <row r="15" spans="2:15" x14ac:dyDescent="0.35">
      <c r="B15" s="314" t="s">
        <v>152</v>
      </c>
      <c r="C15" s="314"/>
      <c r="D15" s="314"/>
      <c r="E15" s="314"/>
      <c r="F15" s="314"/>
      <c r="G15" s="314"/>
      <c r="H15" s="314"/>
      <c r="I15" s="314"/>
      <c r="J15" s="314"/>
      <c r="K15" s="314"/>
      <c r="L15" s="314"/>
      <c r="M15" s="315">
        <f>MEDIAN(M7:M10)</f>
        <v>11.308245100541296</v>
      </c>
      <c r="N15" s="315">
        <f t="shared" ref="N15:O15" si="9">MEDIAN(N7:N10)</f>
        <v>1.7062724897036949</v>
      </c>
      <c r="O15" s="315">
        <f t="shared" si="9"/>
        <v>13.501000883845585</v>
      </c>
    </row>
    <row r="16" spans="2:15" x14ac:dyDescent="0.35">
      <c r="B16" s="312" t="s">
        <v>153</v>
      </c>
      <c r="C16" s="312"/>
      <c r="D16" s="312"/>
      <c r="E16" s="312"/>
      <c r="F16" s="312"/>
      <c r="G16" s="312"/>
      <c r="H16" s="312"/>
      <c r="I16" s="312"/>
      <c r="J16" s="312"/>
      <c r="K16" s="312"/>
      <c r="L16" s="312"/>
      <c r="M16" s="313">
        <f>QUARTILE(M7:M10,1)</f>
        <v>9.7371182358303727</v>
      </c>
      <c r="N16" s="313">
        <f t="shared" ref="N16:O16" si="10">QUARTILE(N7:N10,1)</f>
        <v>1.3092009281457941</v>
      </c>
      <c r="O16" s="313">
        <f t="shared" si="10"/>
        <v>12.449490015645917</v>
      </c>
    </row>
    <row r="17" spans="2:15" x14ac:dyDescent="0.35">
      <c r="B17" s="312" t="s">
        <v>154</v>
      </c>
      <c r="C17" s="312"/>
      <c r="D17" s="312"/>
      <c r="E17" s="312"/>
      <c r="F17" s="312"/>
      <c r="G17" s="312"/>
      <c r="H17" s="312"/>
      <c r="I17" s="312"/>
      <c r="J17" s="312"/>
      <c r="K17" s="312"/>
      <c r="L17" s="312"/>
      <c r="M17" s="313">
        <f>MIN(M7:M10)</f>
        <v>7.6442615221523837</v>
      </c>
      <c r="N17" s="313">
        <f t="shared" ref="N17:O17" si="11">MIN(N7:N10)</f>
        <v>0.9161688850697014</v>
      </c>
      <c r="O17" s="313">
        <f t="shared" si="11"/>
        <v>12.323466135458167</v>
      </c>
    </row>
    <row r="19" spans="2:15" x14ac:dyDescent="0.35">
      <c r="B19" s="316" t="s">
        <v>164</v>
      </c>
      <c r="C19" s="317"/>
      <c r="D19" s="317"/>
      <c r="E19" s="317"/>
      <c r="F19" s="317"/>
      <c r="G19" s="317"/>
      <c r="H19" s="317"/>
      <c r="I19" s="317"/>
      <c r="J19" s="317"/>
      <c r="K19" s="317"/>
      <c r="L19" s="317"/>
      <c r="M19" s="149" t="s">
        <v>149</v>
      </c>
      <c r="N19" s="149" t="str">
        <f>N5</f>
        <v>EV/Revenue</v>
      </c>
      <c r="O19" s="149" t="s">
        <v>416</v>
      </c>
    </row>
    <row r="20" spans="2:15" x14ac:dyDescent="0.35">
      <c r="B20" s="318" t="s">
        <v>155</v>
      </c>
      <c r="C20" s="318"/>
      <c r="D20" s="318"/>
      <c r="E20" s="318"/>
      <c r="F20" s="318"/>
      <c r="G20" s="318"/>
      <c r="H20" s="318"/>
      <c r="I20" s="318"/>
      <c r="J20" s="318"/>
      <c r="K20" s="318"/>
      <c r="L20" s="318"/>
      <c r="M20" s="319">
        <f>$M$15*J6</f>
        <v>388465.81132163887</v>
      </c>
      <c r="N20" s="319">
        <f>$N$15*I6</f>
        <v>396093.99338346638</v>
      </c>
      <c r="O20" s="320">
        <f>O15*K6</f>
        <v>326292.18936078012</v>
      </c>
    </row>
    <row r="21" spans="2:15" x14ac:dyDescent="0.35">
      <c r="B21" s="321" t="s">
        <v>146</v>
      </c>
      <c r="C21" s="321"/>
      <c r="D21" s="321"/>
      <c r="E21" s="321"/>
      <c r="F21" s="321"/>
      <c r="G21" s="321"/>
      <c r="H21" s="321"/>
      <c r="I21" s="321"/>
      <c r="J21" s="321"/>
      <c r="K21" s="321"/>
      <c r="L21" s="321"/>
      <c r="M21" s="322">
        <f>$F$6</f>
        <v>82324.149999999994</v>
      </c>
      <c r="N21" s="322">
        <f t="shared" ref="N21:O21" si="12">$F$6</f>
        <v>82324.149999999994</v>
      </c>
      <c r="O21" s="322">
        <f t="shared" si="12"/>
        <v>82324.149999999994</v>
      </c>
    </row>
    <row r="22" spans="2:15" x14ac:dyDescent="0.35">
      <c r="B22" s="321" t="s">
        <v>538</v>
      </c>
      <c r="C22" s="321"/>
      <c r="D22" s="321"/>
      <c r="E22" s="321"/>
      <c r="F22" s="321"/>
      <c r="G22" s="321"/>
      <c r="H22" s="321"/>
      <c r="I22" s="321"/>
      <c r="J22" s="321"/>
      <c r="K22" s="321"/>
      <c r="L22" s="321"/>
      <c r="M22" s="322">
        <f>M20-M21</f>
        <v>306141.66132163885</v>
      </c>
      <c r="N22" s="322">
        <f t="shared" ref="N22:O22" si="13">N20-N21</f>
        <v>313769.84338346636</v>
      </c>
      <c r="O22" s="322">
        <f t="shared" si="13"/>
        <v>243968.03936078012</v>
      </c>
    </row>
    <row r="23" spans="2:15" x14ac:dyDescent="0.35">
      <c r="B23" s="321" t="s">
        <v>156</v>
      </c>
      <c r="C23" s="321"/>
      <c r="D23" s="321"/>
      <c r="E23" s="321"/>
      <c r="F23" s="321"/>
      <c r="G23" s="321"/>
      <c r="H23" s="321"/>
      <c r="I23" s="321"/>
      <c r="J23" s="321"/>
      <c r="K23" s="321"/>
      <c r="L23" s="321"/>
      <c r="M23" s="321">
        <f>$D$6</f>
        <v>1247</v>
      </c>
      <c r="N23" s="321">
        <f t="shared" ref="N23:O23" si="14">$D$6</f>
        <v>1247</v>
      </c>
      <c r="O23" s="321">
        <f t="shared" si="14"/>
        <v>1247</v>
      </c>
    </row>
    <row r="25" spans="2:15" x14ac:dyDescent="0.35">
      <c r="B25" s="323" t="s">
        <v>157</v>
      </c>
      <c r="C25" s="323"/>
      <c r="D25" s="323"/>
      <c r="E25" s="323"/>
      <c r="F25" s="323"/>
      <c r="G25" s="323"/>
      <c r="H25" s="323"/>
      <c r="I25" s="323"/>
      <c r="J25" s="323"/>
      <c r="K25" s="323"/>
      <c r="L25" s="323"/>
      <c r="M25" s="324">
        <f>M22/M23</f>
        <v>245.50253514165104</v>
      </c>
      <c r="N25" s="324">
        <f t="shared" ref="N25:O25" si="15">N22/N23</f>
        <v>251.61976213589924</v>
      </c>
      <c r="O25" s="324">
        <f t="shared" si="15"/>
        <v>195.64397703350451</v>
      </c>
    </row>
    <row r="26" spans="2:15" ht="15" thickBot="1" x14ac:dyDescent="0.4">
      <c r="B26" s="325"/>
      <c r="M26" s="326" t="str">
        <f>IF(M25&gt;$C$6,"Undervalued","Overvalued")</f>
        <v>Undervalued</v>
      </c>
      <c r="N26" s="326" t="str">
        <f t="shared" ref="N26:O26" si="16">IF(N25&gt;$C$6,"Undervalued","Overvalued")</f>
        <v>Undervalued</v>
      </c>
      <c r="O26" s="326" t="str">
        <f t="shared" si="16"/>
        <v>Undervalued</v>
      </c>
    </row>
    <row r="27" spans="2:15" ht="15" thickTop="1" x14ac:dyDescent="0.35"/>
  </sheetData>
  <mergeCells count="4">
    <mergeCell ref="B1:O2"/>
    <mergeCell ref="C4:G4"/>
    <mergeCell ref="I4:K4"/>
    <mergeCell ref="M4:O4"/>
  </mergeCells>
  <pageMargins left="0.7" right="0.7" top="0.75" bottom="0.75" header="0.3" footer="0.3"/>
  <pageSetup scale="7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0577-1518-4378-B19A-3852F2FDAF73}">
  <sheetPr codeName="Sheet9">
    <pageSetUpPr fitToPage="1"/>
  </sheetPr>
  <dimension ref="A1:J40"/>
  <sheetViews>
    <sheetView showGridLines="0" tabSelected="1" topLeftCell="B15" zoomScale="95" zoomScaleNormal="100" workbookViewId="0">
      <selection activeCell="B38" sqref="B38"/>
    </sheetView>
  </sheetViews>
  <sheetFormatPr defaultColWidth="8.90625" defaultRowHeight="14.5" x14ac:dyDescent="0.35"/>
  <cols>
    <col min="1" max="1" width="1.90625" style="253" customWidth="1"/>
    <col min="2" max="2" width="27.36328125" style="253" customWidth="1"/>
    <col min="3" max="3" width="10" style="253" bestFit="1" customWidth="1"/>
    <col min="4" max="4" width="10.1796875" style="253" bestFit="1" customWidth="1"/>
    <col min="5" max="5" width="12.08984375" style="253" bestFit="1" customWidth="1"/>
    <col min="6" max="6" width="10.6328125" style="253" bestFit="1" customWidth="1"/>
    <col min="7" max="7" width="16.81640625" style="253" customWidth="1"/>
    <col min="8" max="8" width="7.453125" style="253" bestFit="1" customWidth="1"/>
    <col min="9" max="9" width="9.453125" style="253" bestFit="1" customWidth="1"/>
    <col min="10" max="10" width="11.54296875" style="253" bestFit="1" customWidth="1"/>
    <col min="11" max="16384" width="8.90625" style="53"/>
  </cols>
  <sheetData>
    <row r="1" spans="2:10" ht="15" thickBot="1" x14ac:dyDescent="0.4">
      <c r="B1" s="261" t="s">
        <v>165</v>
      </c>
      <c r="C1" s="261"/>
      <c r="D1" s="261"/>
      <c r="E1" s="261"/>
      <c r="F1" s="261"/>
      <c r="G1" s="261"/>
      <c r="H1" s="261"/>
      <c r="I1" s="261"/>
      <c r="J1" s="261"/>
    </row>
    <row r="2" spans="2:10" ht="15.5" thickTop="1" thickBot="1" x14ac:dyDescent="0.4">
      <c r="B2" s="261"/>
      <c r="C2" s="261"/>
      <c r="D2" s="261"/>
      <c r="E2" s="261"/>
      <c r="F2" s="261"/>
      <c r="G2" s="261"/>
      <c r="H2" s="261"/>
      <c r="I2" s="261"/>
      <c r="J2" s="261"/>
    </row>
    <row r="3" spans="2:10" ht="15" thickTop="1" x14ac:dyDescent="0.35">
      <c r="B3" s="253" t="s">
        <v>166</v>
      </c>
    </row>
    <row r="4" spans="2:10" x14ac:dyDescent="0.35">
      <c r="B4" s="2" t="s">
        <v>167</v>
      </c>
    </row>
    <row r="5" spans="2:10" x14ac:dyDescent="0.35">
      <c r="B5" s="48"/>
      <c r="C5" s="48"/>
      <c r="D5" s="48"/>
      <c r="E5" s="48"/>
      <c r="F5" s="86"/>
      <c r="G5" s="86" t="s">
        <v>168</v>
      </c>
      <c r="H5" s="86" t="s">
        <v>168</v>
      </c>
      <c r="I5" s="86" t="s">
        <v>169</v>
      </c>
      <c r="J5" s="86" t="s">
        <v>170</v>
      </c>
    </row>
    <row r="6" spans="2:10" ht="17" thickBot="1" x14ac:dyDescent="0.4">
      <c r="B6" s="262" t="s">
        <v>171</v>
      </c>
      <c r="C6" s="262" t="s">
        <v>172</v>
      </c>
      <c r="D6" s="263" t="s">
        <v>173</v>
      </c>
      <c r="E6" s="263" t="s">
        <v>174</v>
      </c>
      <c r="F6" s="263" t="s">
        <v>600</v>
      </c>
      <c r="G6" s="263" t="s">
        <v>175</v>
      </c>
      <c r="H6" s="263" t="s">
        <v>176</v>
      </c>
      <c r="I6" s="263" t="s">
        <v>601</v>
      </c>
      <c r="J6" s="263" t="s">
        <v>602</v>
      </c>
    </row>
    <row r="7" spans="2:10" ht="15" thickTop="1" x14ac:dyDescent="0.35">
      <c r="B7" s="264" t="s">
        <v>159</v>
      </c>
      <c r="C7" s="265" t="s">
        <v>177</v>
      </c>
      <c r="D7" s="266">
        <f>75608+19924</f>
        <v>95532</v>
      </c>
      <c r="E7" s="266">
        <f>305+99748</f>
        <v>100053</v>
      </c>
      <c r="F7" s="267">
        <v>0.3</v>
      </c>
      <c r="G7" s="268">
        <f t="shared" ref="G7:G10" si="0">D7/E7</f>
        <v>0.95481394860723812</v>
      </c>
      <c r="H7" s="268">
        <f t="shared" ref="H7:H10" si="1">D7/(E7+D7)</f>
        <v>0.48844236521205614</v>
      </c>
      <c r="I7" s="269">
        <v>0.57999999999999996</v>
      </c>
      <c r="J7" s="270">
        <f t="shared" ref="J7:J10" si="2">I7/(1+(1-F7)*G7)</f>
        <v>0.34764475628035041</v>
      </c>
    </row>
    <row r="8" spans="2:10" x14ac:dyDescent="0.35">
      <c r="B8" s="264" t="s">
        <v>160</v>
      </c>
      <c r="C8" s="271" t="s">
        <v>177</v>
      </c>
      <c r="D8" s="272">
        <f>7219+14450</f>
        <v>21669</v>
      </c>
      <c r="E8" s="273">
        <f>4131+56225</f>
        <v>60356</v>
      </c>
      <c r="F8" s="274">
        <v>0.3</v>
      </c>
      <c r="G8" s="275">
        <f t="shared" si="0"/>
        <v>0.35901981575982506</v>
      </c>
      <c r="H8" s="275">
        <f t="shared" si="1"/>
        <v>0.26417555623285582</v>
      </c>
      <c r="I8" s="276">
        <v>0.94</v>
      </c>
      <c r="J8" s="277">
        <f t="shared" si="2"/>
        <v>0.75121040512788606</v>
      </c>
    </row>
    <row r="9" spans="2:10" x14ac:dyDescent="0.35">
      <c r="B9" s="264" t="s">
        <v>161</v>
      </c>
      <c r="C9" s="271" t="s">
        <v>177</v>
      </c>
      <c r="D9" s="272">
        <f>19595+2443</f>
        <v>22038</v>
      </c>
      <c r="E9" s="273">
        <f>102+50797</f>
        <v>50899</v>
      </c>
      <c r="F9" s="274">
        <v>0.3</v>
      </c>
      <c r="G9" s="275">
        <f t="shared" si="0"/>
        <v>0.43297510756596397</v>
      </c>
      <c r="H9" s="275">
        <f t="shared" si="1"/>
        <v>0.30215117155901666</v>
      </c>
      <c r="I9" s="276">
        <v>0.61</v>
      </c>
      <c r="J9" s="277">
        <f t="shared" si="2"/>
        <v>0.46812075578660428</v>
      </c>
    </row>
    <row r="10" spans="2:10" x14ac:dyDescent="0.35">
      <c r="B10" s="264" t="s">
        <v>162</v>
      </c>
      <c r="C10" s="271" t="s">
        <v>177</v>
      </c>
      <c r="D10" s="272">
        <f>4936+2406</f>
        <v>7342</v>
      </c>
      <c r="E10" s="273">
        <f>165+19626</f>
        <v>19791</v>
      </c>
      <c r="F10" s="274">
        <v>0.3</v>
      </c>
      <c r="G10" s="275">
        <f t="shared" si="0"/>
        <v>0.37097670658380072</v>
      </c>
      <c r="H10" s="275">
        <f t="shared" si="1"/>
        <v>0.27059300482806914</v>
      </c>
      <c r="I10" s="276">
        <v>1.1299999999999999</v>
      </c>
      <c r="J10" s="277">
        <f t="shared" si="2"/>
        <v>0.89705058883932864</v>
      </c>
    </row>
    <row r="11" spans="2:10" x14ac:dyDescent="0.35">
      <c r="E11" s="278" t="s">
        <v>137</v>
      </c>
      <c r="F11" s="279">
        <f>AVERAGE(F7:F10)</f>
        <v>0.3</v>
      </c>
      <c r="G11" s="279">
        <f t="shared" ref="G11:J11" si="3">AVERAGE(G7:G10)</f>
        <v>0.52944639462920695</v>
      </c>
      <c r="H11" s="279">
        <f t="shared" si="3"/>
        <v>0.33134052445799944</v>
      </c>
      <c r="I11" s="280">
        <f t="shared" si="3"/>
        <v>0.81499999999999995</v>
      </c>
      <c r="J11" s="280">
        <f t="shared" si="3"/>
        <v>0.61600662650854232</v>
      </c>
    </row>
    <row r="12" spans="2:10" x14ac:dyDescent="0.35">
      <c r="E12" s="281" t="s">
        <v>152</v>
      </c>
      <c r="F12" s="282">
        <f>MEDIAN(F7:F10)</f>
        <v>0.3</v>
      </c>
      <c r="G12" s="282">
        <f t="shared" ref="G12:J12" si="4">MEDIAN(G7:G10)</f>
        <v>0.40197590707488234</v>
      </c>
      <c r="H12" s="282">
        <f t="shared" si="4"/>
        <v>0.28637208819354287</v>
      </c>
      <c r="I12" s="283">
        <f t="shared" si="4"/>
        <v>0.77499999999999991</v>
      </c>
      <c r="J12" s="283">
        <f t="shared" si="4"/>
        <v>0.60966558045724517</v>
      </c>
    </row>
    <row r="13" spans="2:10" x14ac:dyDescent="0.35">
      <c r="G13" s="284"/>
    </row>
    <row r="14" spans="2:10" ht="19" thickBot="1" x14ac:dyDescent="0.5">
      <c r="B14" s="285" t="s">
        <v>178</v>
      </c>
      <c r="C14" s="285"/>
      <c r="D14" s="285"/>
      <c r="E14" s="285"/>
      <c r="G14" s="285" t="s">
        <v>179</v>
      </c>
      <c r="H14" s="285"/>
      <c r="I14" s="285"/>
      <c r="J14" s="285"/>
    </row>
    <row r="15" spans="2:10" ht="15" thickTop="1" x14ac:dyDescent="0.35">
      <c r="B15" s="286" t="s">
        <v>180</v>
      </c>
      <c r="C15" s="286"/>
      <c r="D15" s="286"/>
      <c r="E15" s="287">
        <f>'Assumption and Drivers'!H113</f>
        <v>8.2000000000000003E-2</v>
      </c>
      <c r="G15" s="286" t="s">
        <v>181</v>
      </c>
      <c r="H15" s="286"/>
      <c r="I15" s="286"/>
      <c r="J15" s="288">
        <v>6.8099999999999994E-2</v>
      </c>
    </row>
    <row r="16" spans="2:10" x14ac:dyDescent="0.35">
      <c r="B16" s="289" t="s">
        <v>182</v>
      </c>
      <c r="C16" s="289"/>
      <c r="D16" s="289"/>
      <c r="E16" s="282">
        <v>0.3</v>
      </c>
      <c r="G16" s="289" t="s">
        <v>183</v>
      </c>
      <c r="H16" s="289"/>
      <c r="I16" s="289"/>
      <c r="J16" s="290">
        <v>7.4999999999999997E-2</v>
      </c>
    </row>
    <row r="17" spans="2:10" ht="16.5" x14ac:dyDescent="0.35">
      <c r="B17" s="281" t="s">
        <v>184</v>
      </c>
      <c r="C17" s="281"/>
      <c r="D17" s="281"/>
      <c r="E17" s="291">
        <f>E15*(1-E16)</f>
        <v>5.74E-2</v>
      </c>
      <c r="G17" s="289" t="s">
        <v>603</v>
      </c>
      <c r="H17" s="289"/>
      <c r="I17" s="289"/>
      <c r="J17" s="292">
        <f>J24</f>
        <v>0.75192088256393574</v>
      </c>
    </row>
    <row r="18" spans="2:10" x14ac:dyDescent="0.35">
      <c r="G18" s="281" t="s">
        <v>179</v>
      </c>
      <c r="H18" s="281"/>
      <c r="I18" s="281"/>
      <c r="J18" s="291">
        <f>J15+J16*J17</f>
        <v>0.12449406619229517</v>
      </c>
    </row>
    <row r="20" spans="2:10" ht="19" thickBot="1" x14ac:dyDescent="0.5">
      <c r="B20" s="293" t="s">
        <v>185</v>
      </c>
      <c r="C20" s="294"/>
      <c r="D20" s="294"/>
      <c r="E20" s="294"/>
      <c r="G20" s="285" t="s">
        <v>186</v>
      </c>
      <c r="H20" s="285"/>
      <c r="I20" s="285"/>
      <c r="J20" s="285"/>
    </row>
    <row r="21" spans="2:10" ht="15" thickTop="1" x14ac:dyDescent="0.35">
      <c r="B21" s="286"/>
      <c r="C21" s="286"/>
      <c r="D21" s="295" t="s">
        <v>187</v>
      </c>
      <c r="E21" s="295" t="s">
        <v>188</v>
      </c>
      <c r="G21" s="296" t="s">
        <v>189</v>
      </c>
      <c r="H21" s="286"/>
      <c r="I21" s="286"/>
      <c r="J21" s="296">
        <f>J12</f>
        <v>0.60966558045724517</v>
      </c>
    </row>
    <row r="22" spans="2:10" x14ac:dyDescent="0.35">
      <c r="B22" s="289" t="s">
        <v>173</v>
      </c>
      <c r="C22" s="272">
        <f>63754+21203</f>
        <v>84957</v>
      </c>
      <c r="D22" s="282">
        <f>C22/$C$24</f>
        <v>0.26694044529350031</v>
      </c>
      <c r="E22" s="290">
        <v>0.25</v>
      </c>
      <c r="G22" s="289" t="s">
        <v>190</v>
      </c>
      <c r="H22" s="289"/>
      <c r="I22" s="289"/>
      <c r="J22" s="282">
        <f>E25</f>
        <v>0.33333333333333331</v>
      </c>
    </row>
    <row r="23" spans="2:10" x14ac:dyDescent="0.35">
      <c r="B23" s="289" t="s">
        <v>79</v>
      </c>
      <c r="C23" s="272">
        <v>233305</v>
      </c>
      <c r="D23" s="282">
        <f>C23/$C$24</f>
        <v>0.73305955470649964</v>
      </c>
      <c r="E23" s="282">
        <f>E24-E22</f>
        <v>0.75</v>
      </c>
      <c r="G23" s="289" t="s">
        <v>182</v>
      </c>
      <c r="H23" s="289"/>
      <c r="I23" s="289"/>
      <c r="J23" s="282">
        <f>E16</f>
        <v>0.3</v>
      </c>
    </row>
    <row r="24" spans="2:10" x14ac:dyDescent="0.35">
      <c r="B24" s="289" t="s">
        <v>191</v>
      </c>
      <c r="C24" s="297">
        <f>SUM(C22:C23)</f>
        <v>318262</v>
      </c>
      <c r="D24" s="282">
        <f>C24/$C$24</f>
        <v>1</v>
      </c>
      <c r="E24" s="282">
        <f>D24</f>
        <v>1</v>
      </c>
      <c r="G24" s="281" t="s">
        <v>192</v>
      </c>
      <c r="H24" s="281"/>
      <c r="I24" s="281"/>
      <c r="J24" s="298">
        <f>J21*(1+(1-J23)*J22)</f>
        <v>0.75192088256393574</v>
      </c>
    </row>
    <row r="25" spans="2:10" x14ac:dyDescent="0.35">
      <c r="B25" s="281" t="s">
        <v>193</v>
      </c>
      <c r="C25" s="281"/>
      <c r="D25" s="291">
        <f>D22/D23</f>
        <v>0.36414564625704549</v>
      </c>
      <c r="E25" s="291">
        <f>E22/E23</f>
        <v>0.33333333333333331</v>
      </c>
    </row>
    <row r="26" spans="2:10" ht="19" thickBot="1" x14ac:dyDescent="0.5">
      <c r="G26" s="285" t="s">
        <v>165</v>
      </c>
      <c r="H26" s="285"/>
      <c r="I26" s="285"/>
      <c r="J26" s="285"/>
    </row>
    <row r="27" spans="2:10" ht="15" thickTop="1" x14ac:dyDescent="0.35">
      <c r="B27" s="299" t="s">
        <v>194</v>
      </c>
      <c r="G27" s="286"/>
      <c r="H27" s="286"/>
      <c r="I27" s="287" t="s">
        <v>195</v>
      </c>
      <c r="J27" s="286" t="s">
        <v>196</v>
      </c>
    </row>
    <row r="28" spans="2:10" x14ac:dyDescent="0.35">
      <c r="B28" s="300" t="s">
        <v>197</v>
      </c>
      <c r="C28" s="301"/>
      <c r="D28" s="301"/>
      <c r="G28" s="289" t="s">
        <v>198</v>
      </c>
      <c r="H28" s="289"/>
      <c r="I28" s="282">
        <f>E17</f>
        <v>5.74E-2</v>
      </c>
      <c r="J28" s="282">
        <f t="shared" ref="J28:J29" si="5">E22</f>
        <v>0.25</v>
      </c>
    </row>
    <row r="29" spans="2:10" x14ac:dyDescent="0.35">
      <c r="B29" s="300" t="s">
        <v>199</v>
      </c>
      <c r="C29" s="301"/>
      <c r="D29" s="301"/>
      <c r="G29" s="289" t="s">
        <v>200</v>
      </c>
      <c r="H29" s="289"/>
      <c r="I29" s="282">
        <f>J18</f>
        <v>0.12449406619229517</v>
      </c>
      <c r="J29" s="282">
        <f t="shared" si="5"/>
        <v>0.75</v>
      </c>
    </row>
    <row r="30" spans="2:10" x14ac:dyDescent="0.35">
      <c r="B30" s="300" t="s">
        <v>201</v>
      </c>
      <c r="C30" s="301"/>
      <c r="D30" s="301"/>
      <c r="G30" s="281" t="s">
        <v>165</v>
      </c>
      <c r="H30" s="281"/>
      <c r="I30" s="302"/>
      <c r="J30" s="291">
        <f>SUMPRODUCT(I28:I29,J28:J29)</f>
        <v>0.10772054964422137</v>
      </c>
    </row>
    <row r="33" spans="2:10" x14ac:dyDescent="0.35">
      <c r="B33" s="303" t="s">
        <v>266</v>
      </c>
      <c r="C33" s="304"/>
      <c r="D33" s="304"/>
      <c r="E33" s="304"/>
      <c r="F33" s="304"/>
      <c r="G33" s="304"/>
      <c r="H33" s="304"/>
      <c r="I33" s="304"/>
      <c r="J33" s="304"/>
    </row>
    <row r="34" spans="2:10" x14ac:dyDescent="0.35">
      <c r="B34" s="134" t="s">
        <v>397</v>
      </c>
      <c r="C34" s="304"/>
      <c r="D34" s="304"/>
      <c r="E34" s="304"/>
      <c r="F34" s="304"/>
      <c r="G34" s="304"/>
      <c r="H34" s="304"/>
      <c r="I34" s="304"/>
      <c r="J34" s="304"/>
    </row>
    <row r="35" spans="2:10" x14ac:dyDescent="0.35">
      <c r="B35" s="134" t="s">
        <v>398</v>
      </c>
      <c r="C35" s="304"/>
      <c r="D35" s="304"/>
      <c r="E35" s="304"/>
      <c r="F35" s="304"/>
      <c r="G35" s="304"/>
      <c r="H35" s="304"/>
      <c r="I35" s="304"/>
      <c r="J35" s="304"/>
    </row>
    <row r="36" spans="2:10" x14ac:dyDescent="0.35">
      <c r="B36" s="134" t="s">
        <v>399</v>
      </c>
      <c r="C36" s="304"/>
      <c r="D36" s="304"/>
      <c r="E36" s="304"/>
      <c r="F36" s="304"/>
      <c r="G36" s="304"/>
      <c r="H36" s="304"/>
      <c r="I36" s="304"/>
      <c r="J36" s="304"/>
    </row>
    <row r="37" spans="2:10" x14ac:dyDescent="0.35">
      <c r="B37" s="134" t="s">
        <v>400</v>
      </c>
      <c r="C37" s="304"/>
      <c r="D37" s="304"/>
      <c r="E37" s="304"/>
      <c r="F37" s="304"/>
      <c r="G37" s="304"/>
      <c r="H37" s="304"/>
      <c r="I37" s="304"/>
      <c r="J37" s="304"/>
    </row>
    <row r="38" spans="2:10" x14ac:dyDescent="0.35">
      <c r="B38" s="134" t="s">
        <v>401</v>
      </c>
      <c r="C38" s="304"/>
      <c r="D38" s="304"/>
      <c r="E38" s="304"/>
      <c r="F38" s="304"/>
      <c r="G38" s="304"/>
      <c r="H38" s="304"/>
      <c r="I38" s="304"/>
      <c r="J38" s="304"/>
    </row>
    <row r="39" spans="2:10" x14ac:dyDescent="0.35">
      <c r="B39" s="134" t="s">
        <v>402</v>
      </c>
      <c r="C39" s="304"/>
      <c r="D39" s="304"/>
      <c r="E39" s="304"/>
      <c r="F39" s="304"/>
      <c r="G39" s="304"/>
      <c r="H39" s="304"/>
      <c r="I39" s="304"/>
      <c r="J39" s="304"/>
    </row>
    <row r="40" spans="2:10" x14ac:dyDescent="0.35">
      <c r="B40" s="134" t="s">
        <v>403</v>
      </c>
      <c r="C40" s="304"/>
      <c r="D40" s="304"/>
      <c r="E40" s="304"/>
      <c r="F40" s="304"/>
      <c r="G40" s="304"/>
      <c r="H40" s="304"/>
      <c r="I40" s="304"/>
      <c r="J40" s="304"/>
    </row>
  </sheetData>
  <mergeCells count="5">
    <mergeCell ref="B1:J2"/>
    <mergeCell ref="B14:E14"/>
    <mergeCell ref="G14:J14"/>
    <mergeCell ref="G20:J20"/>
    <mergeCell ref="G26:J26"/>
  </mergeCells>
  <pageMargins left="0.7" right="0.7" top="0.75" bottom="0.75" header="0.3" footer="0.3"/>
  <pageSetup scale="8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3A43-BB1D-4603-A0B0-85484E7A5BCA}">
  <sheetPr codeName="Sheet1">
    <pageSetUpPr fitToPage="1"/>
  </sheetPr>
  <dimension ref="A2:H72"/>
  <sheetViews>
    <sheetView showGridLines="0" topLeftCell="A67" workbookViewId="0">
      <selection activeCell="B2" sqref="B2:H3"/>
    </sheetView>
  </sheetViews>
  <sheetFormatPr defaultRowHeight="14.5" x14ac:dyDescent="0.35"/>
  <cols>
    <col min="1" max="1" width="1.90625" customWidth="1"/>
    <col min="2" max="2" width="24.54296875" bestFit="1" customWidth="1"/>
  </cols>
  <sheetData>
    <row r="2" spans="1:8" x14ac:dyDescent="0.35">
      <c r="B2" s="243" t="s">
        <v>388</v>
      </c>
      <c r="C2" s="243"/>
      <c r="D2" s="243"/>
      <c r="E2" s="243"/>
      <c r="F2" s="243"/>
      <c r="G2" s="243"/>
      <c r="H2" s="243"/>
    </row>
    <row r="3" spans="1:8" x14ac:dyDescent="0.35">
      <c r="B3" s="243"/>
      <c r="C3" s="243"/>
      <c r="D3" s="243"/>
      <c r="E3" s="243"/>
      <c r="F3" s="243"/>
      <c r="G3" s="243"/>
      <c r="H3" s="243"/>
    </row>
    <row r="6" spans="1:8" x14ac:dyDescent="0.35">
      <c r="B6" t="s">
        <v>389</v>
      </c>
      <c r="C6" s="126">
        <v>3</v>
      </c>
    </row>
    <row r="9" spans="1:8" x14ac:dyDescent="0.35">
      <c r="C9" s="91"/>
      <c r="D9" s="86" t="s">
        <v>241</v>
      </c>
      <c r="E9" s="86" t="s">
        <v>242</v>
      </c>
      <c r="F9" s="86" t="s">
        <v>243</v>
      </c>
      <c r="G9" s="86" t="s">
        <v>244</v>
      </c>
      <c r="H9" s="86" t="s">
        <v>315</v>
      </c>
    </row>
    <row r="10" spans="1:8" s="91" customFormat="1" ht="4.25" customHeight="1" x14ac:dyDescent="0.35">
      <c r="A10"/>
      <c r="B10"/>
    </row>
    <row r="11" spans="1:8" x14ac:dyDescent="0.35">
      <c r="B11" s="2" t="s">
        <v>390</v>
      </c>
      <c r="D11" s="129" cm="1">
        <f t="array" ref="D11">INDEX(D12:D14,$C$6)</f>
        <v>4.4999999999999998E-2</v>
      </c>
      <c r="E11" s="129" cm="1">
        <f t="array" ref="E11">INDEX(E12:E14,$C$6)</f>
        <v>5.1999999999999998E-2</v>
      </c>
      <c r="F11" s="129" cm="1">
        <f t="array" ref="F11">INDEX(F12:F14,$C$6)</f>
        <v>4.4999999999999998E-2</v>
      </c>
      <c r="G11" s="129" cm="1">
        <f t="array" ref="G11">INDEX(G12:G14,$C$6)</f>
        <v>0.04</v>
      </c>
      <c r="H11" s="129" cm="1">
        <f t="array" ref="H11">INDEX(H12:H14,$C$6)</f>
        <v>0.04</v>
      </c>
    </row>
    <row r="12" spans="1:8" x14ac:dyDescent="0.35">
      <c r="B12" s="130" t="s">
        <v>4</v>
      </c>
      <c r="C12" s="47"/>
      <c r="D12" s="131">
        <v>6.2E-2</v>
      </c>
      <c r="E12" s="131">
        <v>7.0999999999999994E-2</v>
      </c>
      <c r="F12" s="131">
        <v>6.0999999999999999E-2</v>
      </c>
      <c r="G12" s="131">
        <v>5.6000000000000001E-2</v>
      </c>
      <c r="H12" s="131">
        <v>5.5E-2</v>
      </c>
    </row>
    <row r="13" spans="1:8" x14ac:dyDescent="0.35">
      <c r="B13" s="130" t="s">
        <v>391</v>
      </c>
      <c r="C13" s="47"/>
      <c r="D13" s="131">
        <v>5.5E-2</v>
      </c>
      <c r="E13" s="131">
        <v>6.2E-2</v>
      </c>
      <c r="F13" s="131">
        <v>5.5E-2</v>
      </c>
      <c r="G13" s="131">
        <v>0.05</v>
      </c>
      <c r="H13" s="131">
        <v>0.05</v>
      </c>
    </row>
    <row r="14" spans="1:8" x14ac:dyDescent="0.35">
      <c r="B14" s="130" t="s">
        <v>5</v>
      </c>
      <c r="C14" s="47"/>
      <c r="D14" s="131">
        <v>4.4999999999999998E-2</v>
      </c>
      <c r="E14" s="131">
        <v>5.1999999999999998E-2</v>
      </c>
      <c r="F14" s="131">
        <v>4.4999999999999998E-2</v>
      </c>
      <c r="G14" s="131">
        <v>0.04</v>
      </c>
      <c r="H14" s="131">
        <v>0.04</v>
      </c>
    </row>
    <row r="15" spans="1:8" x14ac:dyDescent="0.35">
      <c r="B15" s="92"/>
      <c r="D15" s="125"/>
      <c r="E15" s="125"/>
      <c r="F15" s="125"/>
      <c r="G15" s="125"/>
      <c r="H15" s="125"/>
    </row>
    <row r="16" spans="1:8" x14ac:dyDescent="0.35">
      <c r="B16" s="92"/>
      <c r="D16" s="125"/>
      <c r="E16" s="125"/>
      <c r="F16" s="125"/>
      <c r="G16" s="125"/>
      <c r="H16" s="125"/>
    </row>
    <row r="17" spans="2:8" x14ac:dyDescent="0.35">
      <c r="C17" s="91"/>
      <c r="D17" s="86" t="s">
        <v>241</v>
      </c>
      <c r="E17" s="86" t="s">
        <v>242</v>
      </c>
      <c r="F17" s="86" t="s">
        <v>243</v>
      </c>
      <c r="G17" s="86" t="s">
        <v>244</v>
      </c>
      <c r="H17" s="86" t="s">
        <v>315</v>
      </c>
    </row>
    <row r="18" spans="2:8" ht="4.25" customHeight="1" x14ac:dyDescent="0.35">
      <c r="C18" s="91"/>
      <c r="D18" s="91"/>
      <c r="E18" s="91"/>
      <c r="F18" s="91"/>
      <c r="G18" s="91"/>
      <c r="H18" s="91"/>
    </row>
    <row r="19" spans="2:8" x14ac:dyDescent="0.35">
      <c r="B19" s="2" t="s">
        <v>392</v>
      </c>
      <c r="D19" s="129" cm="1">
        <f t="array" ref="D19">INDEX(D20:D22,$C$6)</f>
        <v>1.4999999999999999E-2</v>
      </c>
      <c r="E19" s="129" cm="1">
        <f t="array" ref="E19">INDEX(E20:E22,$C$6)</f>
        <v>0.01</v>
      </c>
      <c r="F19" s="129" cm="1">
        <f t="array" ref="F19">INDEX(F20:F22,$C$6)</f>
        <v>1.2E-2</v>
      </c>
      <c r="G19" s="129" cm="1">
        <f t="array" ref="G19">INDEX(G20:G22,$C$6)</f>
        <v>0.01</v>
      </c>
      <c r="H19" s="129" cm="1">
        <f t="array" ref="H19">INDEX(H20:H22,$C$6)</f>
        <v>1.2999999999999999E-2</v>
      </c>
    </row>
    <row r="20" spans="2:8" x14ac:dyDescent="0.35">
      <c r="B20" s="130" t="s">
        <v>4</v>
      </c>
      <c r="C20" s="47"/>
      <c r="D20" s="131">
        <v>0.04</v>
      </c>
      <c r="E20" s="131">
        <v>4.4999999999999998E-2</v>
      </c>
      <c r="F20" s="131">
        <v>0.04</v>
      </c>
      <c r="G20" s="131">
        <v>4.7E-2</v>
      </c>
      <c r="H20" s="131">
        <v>4.8000000000000001E-2</v>
      </c>
    </row>
    <row r="21" spans="2:8" x14ac:dyDescent="0.35">
      <c r="B21" s="130" t="s">
        <v>391</v>
      </c>
      <c r="C21" s="47"/>
      <c r="D21" s="131">
        <v>2.5000000000000001E-2</v>
      </c>
      <c r="E21" s="131">
        <v>2.5000000000000001E-2</v>
      </c>
      <c r="F21" s="131">
        <v>0.02</v>
      </c>
      <c r="G21" s="131">
        <v>0.02</v>
      </c>
      <c r="H21" s="131">
        <v>0.02</v>
      </c>
    </row>
    <row r="22" spans="2:8" x14ac:dyDescent="0.35">
      <c r="B22" s="130" t="s">
        <v>5</v>
      </c>
      <c r="C22" s="47"/>
      <c r="D22" s="131">
        <v>1.4999999999999999E-2</v>
      </c>
      <c r="E22" s="131">
        <v>0.01</v>
      </c>
      <c r="F22" s="131">
        <v>1.2E-2</v>
      </c>
      <c r="G22" s="131">
        <v>0.01</v>
      </c>
      <c r="H22" s="131">
        <v>1.2999999999999999E-2</v>
      </c>
    </row>
    <row r="23" spans="2:8" x14ac:dyDescent="0.35">
      <c r="B23" s="92"/>
      <c r="D23" s="125"/>
      <c r="E23" s="125"/>
      <c r="F23" s="125"/>
      <c r="G23" s="125"/>
      <c r="H23" s="125"/>
    </row>
    <row r="25" spans="2:8" x14ac:dyDescent="0.35">
      <c r="D25" s="86" t="s">
        <v>241</v>
      </c>
      <c r="E25" s="86" t="s">
        <v>242</v>
      </c>
      <c r="F25" s="86" t="s">
        <v>243</v>
      </c>
      <c r="G25" s="86" t="s">
        <v>244</v>
      </c>
      <c r="H25" s="86" t="s">
        <v>315</v>
      </c>
    </row>
    <row r="26" spans="2:8" ht="4.25" customHeight="1" x14ac:dyDescent="0.35">
      <c r="C26" s="91"/>
      <c r="D26" s="91"/>
      <c r="E26" s="91"/>
      <c r="F26" s="91"/>
    </row>
    <row r="27" spans="2:8" x14ac:dyDescent="0.35">
      <c r="B27" s="2" t="s">
        <v>396</v>
      </c>
      <c r="C27" s="91"/>
      <c r="D27" s="129" cm="1">
        <f t="array" ref="D27">INDEX(D28:D30,$C$6)</f>
        <v>0.61199999999999999</v>
      </c>
      <c r="E27" s="129" cm="1">
        <f t="array" ref="E27">INDEX(E28:E30,$C$6)</f>
        <v>0.61</v>
      </c>
      <c r="F27" s="129" cm="1">
        <f t="array" ref="F27">INDEX(F28:F30,$C$6)</f>
        <v>0.60799999999999998</v>
      </c>
      <c r="G27" s="129" cm="1">
        <f t="array" ref="G27">INDEX(G28:G30,$C$6)</f>
        <v>0.60599999999999998</v>
      </c>
      <c r="H27" s="129" cm="1">
        <f t="array" ref="H27">INDEX(H28:H30,$C$6)</f>
        <v>0.60499999999999998</v>
      </c>
    </row>
    <row r="28" spans="2:8" x14ac:dyDescent="0.35">
      <c r="B28" s="130" t="s">
        <v>4</v>
      </c>
      <c r="C28" s="47"/>
      <c r="D28" s="131">
        <v>0.59899999999999998</v>
      </c>
      <c r="E28" s="131">
        <v>0.59299999999999997</v>
      </c>
      <c r="F28" s="131">
        <v>0.58699999999999997</v>
      </c>
      <c r="G28" s="131">
        <v>0.58199999999999996</v>
      </c>
      <c r="H28" s="131">
        <v>0.57499999999999996</v>
      </c>
    </row>
    <row r="29" spans="2:8" x14ac:dyDescent="0.35">
      <c r="B29" s="130" t="s">
        <v>391</v>
      </c>
      <c r="C29" s="47"/>
      <c r="D29" s="131">
        <v>0.60399999999999998</v>
      </c>
      <c r="E29" s="131">
        <v>0.6</v>
      </c>
      <c r="F29" s="131">
        <v>0.59599999999999997</v>
      </c>
      <c r="G29" s="131">
        <v>0.59199999999999997</v>
      </c>
      <c r="H29" s="131">
        <v>0.58799999999999997</v>
      </c>
    </row>
    <row r="30" spans="2:8" x14ac:dyDescent="0.35">
      <c r="B30" s="130" t="s">
        <v>5</v>
      </c>
      <c r="C30" s="47"/>
      <c r="D30" s="131">
        <v>0.61199999999999999</v>
      </c>
      <c r="E30" s="131">
        <v>0.61</v>
      </c>
      <c r="F30" s="131">
        <v>0.60799999999999998</v>
      </c>
      <c r="G30" s="131">
        <v>0.60599999999999998</v>
      </c>
      <c r="H30" s="131">
        <v>0.60499999999999998</v>
      </c>
    </row>
    <row r="32" spans="2:8" x14ac:dyDescent="0.35">
      <c r="D32" s="86" t="s">
        <v>241</v>
      </c>
      <c r="E32" s="86" t="s">
        <v>242</v>
      </c>
      <c r="F32" s="86" t="s">
        <v>243</v>
      </c>
      <c r="G32" s="86" t="s">
        <v>244</v>
      </c>
      <c r="H32" s="86" t="s">
        <v>315</v>
      </c>
    </row>
    <row r="33" spans="2:8" ht="4.25" customHeight="1" x14ac:dyDescent="0.35">
      <c r="C33" s="91"/>
      <c r="D33" s="91"/>
      <c r="E33" s="91"/>
      <c r="F33" s="91"/>
    </row>
    <row r="34" spans="2:8" x14ac:dyDescent="0.35">
      <c r="B34" s="2" t="s">
        <v>393</v>
      </c>
      <c r="C34" s="91"/>
      <c r="D34" s="129" cm="1">
        <f t="array" ref="D34">INDEX(D35:D37,$C$6)</f>
        <v>6.3E-2</v>
      </c>
      <c r="E34" s="129" cm="1">
        <f t="array" ref="E34">INDEX(E35:E37,$C$6)</f>
        <v>6.2E-2</v>
      </c>
      <c r="F34" s="129" cm="1">
        <f t="array" ref="F34">INDEX(F35:F37,$C$6)</f>
        <v>6.0999999999999999E-2</v>
      </c>
      <c r="G34" s="129" cm="1">
        <f t="array" ref="G34">INDEX(G35:G37,$C$6)</f>
        <v>0.06</v>
      </c>
      <c r="H34" s="129" cm="1">
        <f t="array" ref="H34">INDEX(H35:H37,$C$6)</f>
        <v>5.8999999999999997E-2</v>
      </c>
    </row>
    <row r="35" spans="2:8" x14ac:dyDescent="0.35">
      <c r="B35" s="130" t="s">
        <v>4</v>
      </c>
      <c r="C35" s="47"/>
      <c r="D35" s="131">
        <v>5.7000000000000002E-2</v>
      </c>
      <c r="E35" s="131">
        <v>5.6000000000000001E-2</v>
      </c>
      <c r="F35" s="131">
        <v>5.5E-2</v>
      </c>
      <c r="G35" s="131">
        <v>5.3999999999999999E-2</v>
      </c>
      <c r="H35" s="131">
        <v>5.2999999999999999E-2</v>
      </c>
    </row>
    <row r="36" spans="2:8" x14ac:dyDescent="0.35">
      <c r="B36" s="130" t="s">
        <v>391</v>
      </c>
      <c r="C36" s="47"/>
      <c r="D36" s="131">
        <v>0.06</v>
      </c>
      <c r="E36" s="131">
        <v>5.8999999999999997E-2</v>
      </c>
      <c r="F36" s="131">
        <v>5.8000000000000003E-2</v>
      </c>
      <c r="G36" s="131">
        <v>5.7000000000000002E-2</v>
      </c>
      <c r="H36" s="131">
        <v>5.6000000000000001E-2</v>
      </c>
    </row>
    <row r="37" spans="2:8" x14ac:dyDescent="0.35">
      <c r="B37" s="130" t="s">
        <v>5</v>
      </c>
      <c r="C37" s="47"/>
      <c r="D37" s="131">
        <v>6.3E-2</v>
      </c>
      <c r="E37" s="131">
        <v>6.2E-2</v>
      </c>
      <c r="F37" s="131">
        <v>6.0999999999999999E-2</v>
      </c>
      <c r="G37" s="131">
        <v>0.06</v>
      </c>
      <c r="H37" s="131">
        <v>5.8999999999999997E-2</v>
      </c>
    </row>
    <row r="38" spans="2:8" x14ac:dyDescent="0.35">
      <c r="B38" s="92"/>
      <c r="D38" s="125"/>
      <c r="E38" s="125"/>
      <c r="F38" s="125"/>
      <c r="G38" s="125"/>
      <c r="H38" s="125"/>
    </row>
    <row r="39" spans="2:8" x14ac:dyDescent="0.35">
      <c r="D39" s="86" t="s">
        <v>241</v>
      </c>
      <c r="E39" s="86" t="s">
        <v>242</v>
      </c>
      <c r="F39" s="86" t="s">
        <v>243</v>
      </c>
      <c r="G39" s="86" t="s">
        <v>244</v>
      </c>
      <c r="H39" s="86" t="s">
        <v>315</v>
      </c>
    </row>
    <row r="40" spans="2:8" ht="4.75" customHeight="1" x14ac:dyDescent="0.35">
      <c r="B40" s="124"/>
      <c r="D40" s="91"/>
      <c r="E40" s="91"/>
      <c r="F40" s="91"/>
    </row>
    <row r="41" spans="2:8" x14ac:dyDescent="0.35">
      <c r="B41" s="92" t="s">
        <v>354</v>
      </c>
      <c r="D41" s="129" cm="1">
        <f t="array" ref="D41">INDEX(D42:D44,$C$6)</f>
        <v>6.7000000000000004E-2</v>
      </c>
      <c r="E41" s="129" cm="1">
        <f t="array" ref="E41">INDEX(E42:E44,$C$6)</f>
        <v>6.6000000000000003E-2</v>
      </c>
      <c r="F41" s="129" cm="1">
        <f t="array" ref="F41">INDEX(F42:F44,$C$6)</f>
        <v>6.5000000000000002E-2</v>
      </c>
      <c r="G41" s="129" cm="1">
        <f t="array" ref="G41">INDEX(G42:G44,$C$6)</f>
        <v>6.4000000000000001E-2</v>
      </c>
      <c r="H41" s="129" cm="1">
        <f t="array" ref="H41">INDEX(H42:H44,$C$6)</f>
        <v>6.3E-2</v>
      </c>
    </row>
    <row r="42" spans="2:8" x14ac:dyDescent="0.35">
      <c r="B42" s="130" t="s">
        <v>4</v>
      </c>
      <c r="C42" s="47"/>
      <c r="D42" s="131">
        <v>0.06</v>
      </c>
      <c r="E42" s="131">
        <v>0.06</v>
      </c>
      <c r="F42" s="131">
        <v>5.8999999999999997E-2</v>
      </c>
      <c r="G42" s="131">
        <v>5.8000000000000003E-2</v>
      </c>
      <c r="H42" s="131">
        <v>5.7000000000000002E-2</v>
      </c>
    </row>
    <row r="43" spans="2:8" x14ac:dyDescent="0.35">
      <c r="B43" s="130" t="s">
        <v>391</v>
      </c>
      <c r="C43" s="47"/>
      <c r="D43" s="131">
        <v>6.3E-2</v>
      </c>
      <c r="E43" s="131">
        <v>6.3E-2</v>
      </c>
      <c r="F43" s="131">
        <v>6.2E-2</v>
      </c>
      <c r="G43" s="131">
        <v>6.0999999999999999E-2</v>
      </c>
      <c r="H43" s="131">
        <v>0.06</v>
      </c>
    </row>
    <row r="44" spans="2:8" x14ac:dyDescent="0.35">
      <c r="B44" s="130" t="s">
        <v>5</v>
      </c>
      <c r="C44" s="47"/>
      <c r="D44" s="131">
        <v>6.7000000000000004E-2</v>
      </c>
      <c r="E44" s="131">
        <v>6.6000000000000003E-2</v>
      </c>
      <c r="F44" s="131">
        <v>6.5000000000000002E-2</v>
      </c>
      <c r="G44" s="131">
        <v>6.4000000000000001E-2</v>
      </c>
      <c r="H44" s="131">
        <v>6.3E-2</v>
      </c>
    </row>
    <row r="46" spans="2:8" x14ac:dyDescent="0.35">
      <c r="D46" s="86" t="s">
        <v>241</v>
      </c>
      <c r="E46" s="86" t="s">
        <v>242</v>
      </c>
      <c r="F46" s="86" t="s">
        <v>243</v>
      </c>
      <c r="G46" s="86" t="s">
        <v>244</v>
      </c>
      <c r="H46" s="86" t="s">
        <v>315</v>
      </c>
    </row>
    <row r="47" spans="2:8" ht="4.75" customHeight="1" x14ac:dyDescent="0.35"/>
    <row r="48" spans="2:8" x14ac:dyDescent="0.35">
      <c r="B48" s="92" t="s">
        <v>395</v>
      </c>
      <c r="D48" s="129" cm="1">
        <f t="array" ref="D48">INDEX(D49:D51,$C$6)</f>
        <v>5.2999999999999999E-2</v>
      </c>
      <c r="E48" s="129" cm="1">
        <f t="array" ref="E48">INDEX(E49:E51,$C$6)</f>
        <v>5.3499999999999999E-2</v>
      </c>
      <c r="F48" s="129" cm="1">
        <f t="array" ref="F48">INDEX(F49:F51,$C$6)</f>
        <v>5.3999999999999999E-2</v>
      </c>
      <c r="G48" s="129" cm="1">
        <f t="array" ref="G48">INDEX(G49:G51,$C$6)</f>
        <v>5.45E-2</v>
      </c>
      <c r="H48" s="129" cm="1">
        <f t="array" ref="H48">INDEX(H49:H51,$C$6)</f>
        <v>5.5E-2</v>
      </c>
    </row>
    <row r="49" spans="2:8" x14ac:dyDescent="0.35">
      <c r="B49" s="130" t="s">
        <v>4</v>
      </c>
      <c r="C49" s="47"/>
      <c r="D49" s="131">
        <v>4.9500000000000002E-2</v>
      </c>
      <c r="E49" s="131">
        <v>0.05</v>
      </c>
      <c r="F49" s="131">
        <v>5.0500000000000003E-2</v>
      </c>
      <c r="G49" s="131">
        <v>5.0999999999999997E-2</v>
      </c>
      <c r="H49" s="131">
        <v>5.1499999999999997E-2</v>
      </c>
    </row>
    <row r="50" spans="2:8" x14ac:dyDescent="0.35">
      <c r="B50" s="130" t="s">
        <v>391</v>
      </c>
      <c r="C50" s="47"/>
      <c r="D50" s="131">
        <v>5.0999999999999997E-2</v>
      </c>
      <c r="E50" s="131">
        <v>5.1499999999999997E-2</v>
      </c>
      <c r="F50" s="131">
        <v>5.1999999999999998E-2</v>
      </c>
      <c r="G50" s="131">
        <v>5.2499999999999998E-2</v>
      </c>
      <c r="H50" s="131">
        <v>5.2999999999999999E-2</v>
      </c>
    </row>
    <row r="51" spans="2:8" x14ac:dyDescent="0.35">
      <c r="B51" s="130" t="s">
        <v>5</v>
      </c>
      <c r="C51" s="47"/>
      <c r="D51" s="131">
        <v>5.2999999999999999E-2</v>
      </c>
      <c r="E51" s="131">
        <v>5.3499999999999999E-2</v>
      </c>
      <c r="F51" s="131">
        <v>5.3999999999999999E-2</v>
      </c>
      <c r="G51" s="131">
        <v>5.45E-2</v>
      </c>
      <c r="H51" s="131">
        <v>5.5E-2</v>
      </c>
    </row>
    <row r="52" spans="2:8" x14ac:dyDescent="0.35">
      <c r="B52" s="92"/>
      <c r="D52" s="125"/>
      <c r="E52" s="125"/>
      <c r="F52" s="125"/>
      <c r="G52" s="125"/>
      <c r="H52" s="125"/>
    </row>
    <row r="53" spans="2:8" x14ac:dyDescent="0.35">
      <c r="D53" s="86" t="s">
        <v>241</v>
      </c>
      <c r="E53" s="86" t="s">
        <v>242</v>
      </c>
      <c r="F53" s="86" t="s">
        <v>243</v>
      </c>
      <c r="G53" s="86" t="s">
        <v>244</v>
      </c>
      <c r="H53" s="86" t="s">
        <v>315</v>
      </c>
    </row>
    <row r="54" spans="2:8" ht="4.25" customHeight="1" x14ac:dyDescent="0.35"/>
    <row r="55" spans="2:8" x14ac:dyDescent="0.35">
      <c r="C55" s="91"/>
      <c r="D55" s="132" cm="1">
        <f t="array" ref="D55">INDEX(D56:D58,$C$6)</f>
        <v>10</v>
      </c>
      <c r="E55" s="132" cm="1">
        <f t="array" ref="E55">INDEX(E56:E58,$C$6)</f>
        <v>10</v>
      </c>
      <c r="F55" s="132" cm="1">
        <f t="array" ref="F55">INDEX(F56:F58,$C$6)</f>
        <v>10</v>
      </c>
      <c r="G55" s="132" cm="1">
        <f t="array" ref="G55">INDEX(G56:G58,$C$6)</f>
        <v>10</v>
      </c>
      <c r="H55" s="132" cm="1">
        <f t="array" ref="H55">INDEX(H56:H58,$C$6)</f>
        <v>10</v>
      </c>
    </row>
    <row r="56" spans="2:8" x14ac:dyDescent="0.35">
      <c r="B56" s="130" t="s">
        <v>4</v>
      </c>
      <c r="C56" s="47"/>
      <c r="D56" s="133">
        <v>8</v>
      </c>
      <c r="E56" s="133">
        <v>8</v>
      </c>
      <c r="F56" s="133">
        <v>8</v>
      </c>
      <c r="G56" s="133">
        <v>8</v>
      </c>
      <c r="H56" s="133">
        <v>8</v>
      </c>
    </row>
    <row r="57" spans="2:8" x14ac:dyDescent="0.35">
      <c r="B57" s="130" t="s">
        <v>391</v>
      </c>
      <c r="C57" s="47"/>
      <c r="D57" s="133">
        <v>9</v>
      </c>
      <c r="E57" s="133">
        <v>9</v>
      </c>
      <c r="F57" s="133">
        <v>9</v>
      </c>
      <c r="G57" s="133">
        <v>9</v>
      </c>
      <c r="H57" s="133">
        <v>9</v>
      </c>
    </row>
    <row r="58" spans="2:8" x14ac:dyDescent="0.35">
      <c r="B58" s="130" t="s">
        <v>5</v>
      </c>
      <c r="C58" s="47"/>
      <c r="D58" s="133">
        <v>10</v>
      </c>
      <c r="E58" s="133">
        <v>10</v>
      </c>
      <c r="F58" s="133">
        <v>10</v>
      </c>
      <c r="G58" s="133">
        <v>10</v>
      </c>
      <c r="H58" s="133">
        <v>10</v>
      </c>
    </row>
    <row r="59" spans="2:8" x14ac:dyDescent="0.35">
      <c r="B59" s="92"/>
      <c r="D59" s="91"/>
      <c r="E59" s="91"/>
      <c r="F59" s="91"/>
      <c r="G59" s="91"/>
      <c r="H59" s="91"/>
    </row>
    <row r="60" spans="2:8" x14ac:dyDescent="0.35">
      <c r="D60" s="86" t="s">
        <v>241</v>
      </c>
      <c r="E60" s="86" t="s">
        <v>242</v>
      </c>
      <c r="F60" s="86" t="s">
        <v>243</v>
      </c>
      <c r="G60" s="86" t="s">
        <v>244</v>
      </c>
      <c r="H60" s="86" t="s">
        <v>315</v>
      </c>
    </row>
    <row r="61" spans="2:8" ht="4.75" customHeight="1" x14ac:dyDescent="0.35">
      <c r="B61" s="124"/>
      <c r="C61" s="91"/>
    </row>
    <row r="62" spans="2:8" x14ac:dyDescent="0.35">
      <c r="B62" s="128" t="s">
        <v>394</v>
      </c>
      <c r="D62" s="132" cm="1">
        <f t="array" ref="D62">INDEX(D63:D65,$C$6)</f>
        <v>125</v>
      </c>
      <c r="E62" s="132" cm="1">
        <f t="array" ref="E62">INDEX(E63:E65,$C$6)</f>
        <v>125</v>
      </c>
      <c r="F62" s="132" cm="1">
        <f t="array" ref="F62">INDEX(F63:F65,$C$6)</f>
        <v>126</v>
      </c>
      <c r="G62" s="132" cm="1">
        <f t="array" ref="G62">INDEX(G63:G65,$C$6)</f>
        <v>126</v>
      </c>
      <c r="H62" s="132" cm="1">
        <f t="array" ref="H62">INDEX(H63:H65,$C$6)</f>
        <v>127</v>
      </c>
    </row>
    <row r="63" spans="2:8" x14ac:dyDescent="0.35">
      <c r="B63" s="130" t="s">
        <v>4</v>
      </c>
      <c r="C63" s="47"/>
      <c r="D63" s="133">
        <v>120</v>
      </c>
      <c r="E63" s="133">
        <v>120</v>
      </c>
      <c r="F63" s="133">
        <v>119</v>
      </c>
      <c r="G63" s="133">
        <v>118</v>
      </c>
      <c r="H63" s="133">
        <v>118</v>
      </c>
    </row>
    <row r="64" spans="2:8" x14ac:dyDescent="0.35">
      <c r="B64" s="130" t="s">
        <v>391</v>
      </c>
      <c r="C64" s="47"/>
      <c r="D64" s="133">
        <v>122</v>
      </c>
      <c r="E64" s="133">
        <v>122</v>
      </c>
      <c r="F64" s="133">
        <v>122</v>
      </c>
      <c r="G64" s="133">
        <v>122</v>
      </c>
      <c r="H64" s="133">
        <v>122</v>
      </c>
    </row>
    <row r="65" spans="2:8" x14ac:dyDescent="0.35">
      <c r="B65" s="130" t="s">
        <v>5</v>
      </c>
      <c r="C65" s="47"/>
      <c r="D65" s="133">
        <v>125</v>
      </c>
      <c r="E65" s="133">
        <v>125</v>
      </c>
      <c r="F65" s="133">
        <v>126</v>
      </c>
      <c r="G65" s="133">
        <v>126</v>
      </c>
      <c r="H65" s="133">
        <v>127</v>
      </c>
    </row>
    <row r="66" spans="2:8" x14ac:dyDescent="0.35">
      <c r="B66" s="92"/>
      <c r="D66" s="91"/>
      <c r="E66" s="91"/>
      <c r="F66" s="91"/>
      <c r="G66" s="91"/>
      <c r="H66" s="91"/>
    </row>
    <row r="67" spans="2:8" x14ac:dyDescent="0.35">
      <c r="D67" s="86" t="s">
        <v>241</v>
      </c>
      <c r="E67" s="86" t="s">
        <v>242</v>
      </c>
      <c r="F67" s="86" t="s">
        <v>243</v>
      </c>
      <c r="G67" s="86" t="s">
        <v>244</v>
      </c>
      <c r="H67" s="86" t="s">
        <v>315</v>
      </c>
    </row>
    <row r="68" spans="2:8" ht="3.65" customHeight="1" x14ac:dyDescent="0.35"/>
    <row r="69" spans="2:8" x14ac:dyDescent="0.35">
      <c r="B69" s="92" t="s">
        <v>303</v>
      </c>
      <c r="C69" s="91"/>
      <c r="D69" s="132" cm="1">
        <f t="array" ref="D69">INDEX(D70:D72,$C$6)</f>
        <v>88</v>
      </c>
      <c r="E69" s="132" cm="1">
        <f t="array" ref="E69">INDEX(E70:E72,$C$6)</f>
        <v>88</v>
      </c>
      <c r="F69" s="132" cm="1">
        <f t="array" ref="F69">INDEX(F70:F72,$C$6)</f>
        <v>87</v>
      </c>
      <c r="G69" s="132" cm="1">
        <f t="array" ref="G69">INDEX(G70:G72,$C$6)</f>
        <v>87</v>
      </c>
      <c r="H69" s="132" cm="1">
        <f t="array" ref="H69">INDEX(H70:H72,$C$6)</f>
        <v>86</v>
      </c>
    </row>
    <row r="70" spans="2:8" x14ac:dyDescent="0.35">
      <c r="B70" s="130" t="s">
        <v>4</v>
      </c>
      <c r="C70" s="47"/>
      <c r="D70" s="133">
        <v>92</v>
      </c>
      <c r="E70" s="133">
        <v>92</v>
      </c>
      <c r="F70" s="133">
        <v>93</v>
      </c>
      <c r="G70" s="133">
        <v>93</v>
      </c>
      <c r="H70" s="133">
        <v>94</v>
      </c>
    </row>
    <row r="71" spans="2:8" x14ac:dyDescent="0.35">
      <c r="B71" s="130" t="s">
        <v>391</v>
      </c>
      <c r="C71" s="47"/>
      <c r="D71" s="133">
        <v>90</v>
      </c>
      <c r="E71" s="133">
        <v>90</v>
      </c>
      <c r="F71" s="133">
        <v>90</v>
      </c>
      <c r="G71" s="133">
        <v>90</v>
      </c>
      <c r="H71" s="133">
        <v>90</v>
      </c>
    </row>
    <row r="72" spans="2:8" x14ac:dyDescent="0.35">
      <c r="B72" s="130" t="s">
        <v>5</v>
      </c>
      <c r="C72" s="47"/>
      <c r="D72" s="133">
        <v>88</v>
      </c>
      <c r="E72" s="133">
        <v>88</v>
      </c>
      <c r="F72" s="133">
        <v>87</v>
      </c>
      <c r="G72" s="133">
        <v>87</v>
      </c>
      <c r="H72" s="133">
        <v>86</v>
      </c>
    </row>
  </sheetData>
  <mergeCells count="1">
    <mergeCell ref="B2:H3"/>
  </mergeCells>
  <pageMargins left="0.7" right="0.7" top="0.75" bottom="0.75" header="0.3" footer="0.3"/>
  <pageSetup scale="71"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65D8-26D8-4F50-83CD-4624EED4B824}">
  <sheetPr codeName="Sheet11">
    <pageSetUpPr fitToPage="1"/>
  </sheetPr>
  <dimension ref="A1:L55"/>
  <sheetViews>
    <sheetView showGridLines="0" zoomScale="66" workbookViewId="0">
      <selection sqref="A1:L1048576"/>
    </sheetView>
  </sheetViews>
  <sheetFormatPr defaultRowHeight="14.5" x14ac:dyDescent="0.35"/>
  <cols>
    <col min="1" max="1" width="1.90625" style="253" customWidth="1"/>
    <col min="2" max="2" width="30.54296875" style="253" bestFit="1" customWidth="1"/>
    <col min="3" max="3" width="13.453125" style="253" bestFit="1" customWidth="1"/>
    <col min="4" max="8" width="11.81640625" style="253" bestFit="1" customWidth="1"/>
    <col min="9" max="12" width="12.08984375" style="253" bestFit="1" customWidth="1"/>
  </cols>
  <sheetData>
    <row r="1" spans="2:12" x14ac:dyDescent="0.35">
      <c r="B1" s="243" t="s">
        <v>506</v>
      </c>
      <c r="C1" s="243"/>
      <c r="D1" s="243"/>
      <c r="E1" s="243"/>
      <c r="F1" s="243"/>
      <c r="G1" s="243"/>
      <c r="H1" s="243"/>
      <c r="I1" s="243"/>
      <c r="J1" s="243"/>
      <c r="K1" s="243"/>
      <c r="L1" s="243"/>
    </row>
    <row r="2" spans="2:12" x14ac:dyDescent="0.35">
      <c r="B2" s="243"/>
      <c r="C2" s="243"/>
      <c r="D2" s="243"/>
      <c r="E2" s="243"/>
      <c r="F2" s="243"/>
      <c r="G2" s="243"/>
      <c r="H2" s="243"/>
      <c r="I2" s="243"/>
      <c r="J2" s="243"/>
      <c r="K2" s="243"/>
      <c r="L2" s="243"/>
    </row>
    <row r="4" spans="2:12" x14ac:dyDescent="0.35">
      <c r="B4" s="253" t="s">
        <v>166</v>
      </c>
    </row>
    <row r="5" spans="2:12" ht="15.5" x14ac:dyDescent="0.35">
      <c r="B5" s="119" t="s">
        <v>364</v>
      </c>
      <c r="C5" s="119"/>
      <c r="D5" s="120" t="s">
        <v>237</v>
      </c>
      <c r="E5" s="120" t="s">
        <v>238</v>
      </c>
      <c r="F5" s="120" t="s">
        <v>239</v>
      </c>
      <c r="G5" s="120" t="s">
        <v>240</v>
      </c>
      <c r="H5" s="121" t="s">
        <v>241</v>
      </c>
      <c r="I5" s="121" t="s">
        <v>242</v>
      </c>
      <c r="J5" s="121" t="s">
        <v>243</v>
      </c>
      <c r="K5" s="121" t="s">
        <v>244</v>
      </c>
      <c r="L5" s="121" t="s">
        <v>315</v>
      </c>
    </row>
    <row r="6" spans="2:12" ht="4.75" customHeight="1" x14ac:dyDescent="0.35"/>
    <row r="7" spans="2:12" x14ac:dyDescent="0.35">
      <c r="B7" s="246" t="s">
        <v>365</v>
      </c>
      <c r="C7" s="246"/>
      <c r="D7" s="386">
        <f>'Forecasted Income Statement '!D12</f>
        <v>23048.227589999991</v>
      </c>
      <c r="E7" s="386">
        <f>'Forecasted Income Statement '!E12</f>
        <v>40031.235884000009</v>
      </c>
      <c r="F7" s="386">
        <f>'Forecasted Income Statement '!F12</f>
        <v>36871.375199999995</v>
      </c>
      <c r="G7" s="386">
        <f>'Forecasted Income Statement '!G12</f>
        <v>39232.359999999986</v>
      </c>
      <c r="H7" s="386">
        <f>'Forecasted Income Statement '!H12</f>
        <v>42843.166443000002</v>
      </c>
      <c r="I7" s="386">
        <f>'Forecasted Income Statement '!I12</f>
        <v>47483.864364577392</v>
      </c>
      <c r="J7" s="386">
        <f>'Forecasted Income Statement '!J12</f>
        <v>52291.130792847194</v>
      </c>
      <c r="K7" s="386">
        <f>'Forecasted Income Statement '!K12</f>
        <v>56815.613967882091</v>
      </c>
      <c r="L7" s="386">
        <f>'Forecasted Income Statement '!L12</f>
        <v>62458.837176462403</v>
      </c>
    </row>
    <row r="8" spans="2:12" x14ac:dyDescent="0.35">
      <c r="B8" s="246" t="s">
        <v>366</v>
      </c>
      <c r="C8" s="246"/>
      <c r="D8" s="388">
        <v>0.3</v>
      </c>
      <c r="E8" s="388">
        <v>0.3</v>
      </c>
      <c r="F8" s="388">
        <v>0.3</v>
      </c>
      <c r="G8" s="388">
        <v>0.3</v>
      </c>
      <c r="H8" s="388">
        <v>0.3</v>
      </c>
      <c r="I8" s="388">
        <v>0.3</v>
      </c>
      <c r="J8" s="388">
        <v>0.3</v>
      </c>
      <c r="K8" s="388">
        <v>0.3</v>
      </c>
      <c r="L8" s="388">
        <v>0.3</v>
      </c>
    </row>
    <row r="9" spans="2:12" x14ac:dyDescent="0.35">
      <c r="B9" s="246" t="s">
        <v>371</v>
      </c>
      <c r="C9" s="246"/>
      <c r="D9" s="386">
        <f t="shared" ref="D9:L9" si="0">D7*(1-D8)</f>
        <v>16133.759312999993</v>
      </c>
      <c r="E9" s="386">
        <f t="shared" si="0"/>
        <v>28021.865118800004</v>
      </c>
      <c r="F9" s="386">
        <f t="shared" si="0"/>
        <v>25809.962639999994</v>
      </c>
      <c r="G9" s="386">
        <f t="shared" si="0"/>
        <v>27462.651999999987</v>
      </c>
      <c r="H9" s="386">
        <f t="shared" si="0"/>
        <v>29990.216510099999</v>
      </c>
      <c r="I9" s="386">
        <f t="shared" si="0"/>
        <v>33238.705055204169</v>
      </c>
      <c r="J9" s="386">
        <f t="shared" si="0"/>
        <v>36603.791554993033</v>
      </c>
      <c r="K9" s="386">
        <f t="shared" si="0"/>
        <v>39770.929777517464</v>
      </c>
      <c r="L9" s="386">
        <f t="shared" si="0"/>
        <v>43721.186023523682</v>
      </c>
    </row>
    <row r="10" spans="2:12" x14ac:dyDescent="0.35">
      <c r="B10" s="248" t="s">
        <v>367</v>
      </c>
      <c r="C10" s="246"/>
      <c r="D10" s="386">
        <f>'Assumption and Drivers'!D70</f>
        <v>9335.2000000000007</v>
      </c>
      <c r="E10" s="386">
        <f>'Assumption and Drivers'!E70</f>
        <v>9882.16</v>
      </c>
      <c r="F10" s="386">
        <f>'Assumption and Drivers'!F70</f>
        <v>10421.33</v>
      </c>
      <c r="G10" s="386">
        <f>'Assumption and Drivers'!G70</f>
        <v>11954.51</v>
      </c>
      <c r="H10" s="386">
        <f>'Assumption and Drivers'!H70</f>
        <v>13049.930008499998</v>
      </c>
      <c r="I10" s="386">
        <f>'Assumption and Drivers'!I70</f>
        <v>13996.621176335488</v>
      </c>
      <c r="J10" s="386">
        <f>'Assumption and Drivers'!J70</f>
        <v>14940.323083670632</v>
      </c>
      <c r="K10" s="386">
        <f>'Assumption and Drivers'!K70</f>
        <v>15838.623842708814</v>
      </c>
      <c r="L10" s="386">
        <f>'Assumption and Drivers'!L70</f>
        <v>16839.392376007017</v>
      </c>
    </row>
    <row r="11" spans="2:12" x14ac:dyDescent="0.35">
      <c r="B11" s="248" t="s">
        <v>368</v>
      </c>
      <c r="C11" s="246"/>
      <c r="D11" s="386">
        <f>'Assumption and Drivers'!D69</f>
        <v>13814.789999999999</v>
      </c>
      <c r="E11" s="386">
        <f>'Assumption and Drivers'!E69</f>
        <v>17731.199999999997</v>
      </c>
      <c r="F11" s="386">
        <f>'Assumption and Drivers'!F69</f>
        <v>15670.52</v>
      </c>
      <c r="G11" s="386">
        <f>'Assumption and Drivers'!G69</f>
        <v>14025.75</v>
      </c>
      <c r="H11" s="386">
        <f>'Assumption and Drivers'!H69</f>
        <v>16497.081331499998</v>
      </c>
      <c r="I11" s="386">
        <f>'Assumption and Drivers'!I69</f>
        <v>17266.859768937236</v>
      </c>
      <c r="J11" s="386">
        <f>'Assumption and Drivers'!J69</f>
        <v>17983.72223034428</v>
      </c>
      <c r="K11" s="386">
        <f>'Assumption and Drivers'!K69</f>
        <v>18599.484879511267</v>
      </c>
      <c r="L11" s="386">
        <f>'Assumption and Drivers'!L69</f>
        <v>19288.758539789855</v>
      </c>
    </row>
    <row r="12" spans="2:12" x14ac:dyDescent="0.35">
      <c r="B12" s="248" t="s">
        <v>369</v>
      </c>
      <c r="C12" s="246"/>
      <c r="D12" s="246"/>
      <c r="E12" s="386">
        <f>'Assumption and Drivers'!E90</f>
        <v>-4853.6500000000015</v>
      </c>
      <c r="F12" s="386">
        <f>'Assumption and Drivers'!F90</f>
        <v>549.2400000000016</v>
      </c>
      <c r="G12" s="386">
        <f>'Assumption and Drivers'!G90</f>
        <v>-3179.6499999999978</v>
      </c>
      <c r="H12" s="386">
        <f>'Assumption and Drivers'!H90</f>
        <v>4340.8456558999824</v>
      </c>
      <c r="I12" s="386">
        <f>'Assumption and Drivers'!I90</f>
        <v>1197.3631684928841</v>
      </c>
      <c r="J12" s="386">
        <f>'Assumption and Drivers'!J90</f>
        <v>2038.9539605476821</v>
      </c>
      <c r="K12" s="386">
        <f>'Assumption and Drivers'!K90</f>
        <v>1101.3687814232908</v>
      </c>
      <c r="L12" s="386">
        <f>'Assumption and Drivers'!L90</f>
        <v>2129.015196995344</v>
      </c>
    </row>
    <row r="13" spans="2:12" x14ac:dyDescent="0.35">
      <c r="B13" s="123" t="s">
        <v>370</v>
      </c>
      <c r="C13" s="103"/>
      <c r="D13" s="104">
        <f t="shared" ref="D13:L13" si="1">D9+D10-D11-D12</f>
        <v>11654.169312999993</v>
      </c>
      <c r="E13" s="104">
        <f t="shared" si="1"/>
        <v>25026.475118800008</v>
      </c>
      <c r="F13" s="104">
        <f t="shared" si="1"/>
        <v>20011.53263999999</v>
      </c>
      <c r="G13" s="104">
        <f t="shared" si="1"/>
        <v>28571.061999999987</v>
      </c>
      <c r="H13" s="104">
        <f t="shared" si="1"/>
        <v>22202.219531200019</v>
      </c>
      <c r="I13" s="104">
        <f t="shared" si="1"/>
        <v>28771.103294109536</v>
      </c>
      <c r="J13" s="104">
        <f t="shared" si="1"/>
        <v>31521.438447771703</v>
      </c>
      <c r="K13" s="104">
        <f t="shared" si="1"/>
        <v>35908.69995929172</v>
      </c>
      <c r="L13" s="104">
        <f t="shared" si="1"/>
        <v>39142.804662745504</v>
      </c>
    </row>
    <row r="16" spans="2:12" x14ac:dyDescent="0.35">
      <c r="B16" s="258" t="s">
        <v>375</v>
      </c>
      <c r="C16" s="259">
        <v>6.0999999999999999E-2</v>
      </c>
    </row>
    <row r="17" spans="2:8" x14ac:dyDescent="0.35">
      <c r="B17" s="258" t="s">
        <v>376</v>
      </c>
      <c r="C17" s="260">
        <v>2.5000000000000001E-2</v>
      </c>
    </row>
    <row r="18" spans="2:8" x14ac:dyDescent="0.35">
      <c r="B18" s="258" t="s">
        <v>377</v>
      </c>
      <c r="C18" s="259">
        <f>WACC!J30</f>
        <v>0.10772054964422137</v>
      </c>
    </row>
    <row r="20" spans="2:8" x14ac:dyDescent="0.35">
      <c r="B20" s="389"/>
    </row>
    <row r="21" spans="2:8" ht="15.5" x14ac:dyDescent="0.35">
      <c r="B21" s="119" t="s">
        <v>364</v>
      </c>
      <c r="C21" s="119"/>
      <c r="D21" s="121" t="s">
        <v>241</v>
      </c>
      <c r="E21" s="121" t="s">
        <v>242</v>
      </c>
      <c r="F21" s="121" t="s">
        <v>243</v>
      </c>
      <c r="G21" s="121" t="s">
        <v>244</v>
      </c>
      <c r="H21" s="121" t="s">
        <v>315</v>
      </c>
    </row>
    <row r="22" spans="2:8" ht="4.25" customHeight="1" x14ac:dyDescent="0.35"/>
    <row r="23" spans="2:8" x14ac:dyDescent="0.35">
      <c r="B23" s="249" t="s">
        <v>372</v>
      </c>
      <c r="C23" s="249"/>
      <c r="D23" s="256">
        <f>H13</f>
        <v>22202.219531200019</v>
      </c>
      <c r="E23" s="256">
        <f>I13</f>
        <v>28771.103294109536</v>
      </c>
      <c r="F23" s="256">
        <f>J13</f>
        <v>31521.438447771703</v>
      </c>
      <c r="G23" s="256">
        <f>K13</f>
        <v>35908.69995929172</v>
      </c>
      <c r="H23" s="256">
        <f>L13</f>
        <v>39142.804662745504</v>
      </c>
    </row>
    <row r="24" spans="2:8" x14ac:dyDescent="0.35">
      <c r="B24" s="249" t="s">
        <v>373</v>
      </c>
      <c r="C24" s="249"/>
      <c r="D24" s="257">
        <f>1/(1+$C$18)^1</f>
        <v>0.90275476095589358</v>
      </c>
      <c r="E24" s="257">
        <f>1/(1+$C$18)^2</f>
        <v>0.81496615842853259</v>
      </c>
      <c r="F24" s="257">
        <f>1/(1+$C$18)^3</f>
        <v>0.73571457953929276</v>
      </c>
      <c r="G24" s="257">
        <f>1/(1+$C$18)^4</f>
        <v>0.66416983938375995</v>
      </c>
      <c r="H24" s="257">
        <f>1/(1+$C$18)^5</f>
        <v>0.59958248458700036</v>
      </c>
    </row>
    <row r="25" spans="2:8" ht="15" thickBot="1" x14ac:dyDescent="0.4"/>
    <row r="26" spans="2:8" ht="15.5" thickTop="1" thickBot="1" x14ac:dyDescent="0.4">
      <c r="B26" s="254" t="s">
        <v>374</v>
      </c>
      <c r="C26" s="254"/>
      <c r="D26" s="255">
        <f>D23*D24</f>
        <v>20043.159385578743</v>
      </c>
      <c r="E26" s="255">
        <f>E23*E24</f>
        <v>23447.47552535095</v>
      </c>
      <c r="F26" s="255">
        <f>F23*F24</f>
        <v>23190.781834076057</v>
      </c>
      <c r="G26" s="255">
        <f>G23*G24</f>
        <v>23849.47548444241</v>
      </c>
      <c r="H26" s="255">
        <f>H23*H24</f>
        <v>23469.340073392574</v>
      </c>
    </row>
    <row r="27" spans="2:8" ht="15" thickTop="1" x14ac:dyDescent="0.35"/>
    <row r="28" spans="2:8" ht="16" thickBot="1" x14ac:dyDescent="0.4">
      <c r="B28" s="234" t="s">
        <v>378</v>
      </c>
      <c r="C28" s="234"/>
    </row>
    <row r="29" spans="2:8" ht="15" thickTop="1" x14ac:dyDescent="0.35">
      <c r="B29" s="249" t="s">
        <v>379</v>
      </c>
      <c r="C29" s="250">
        <f>H23*(1+C17)</f>
        <v>40121.374779314137</v>
      </c>
    </row>
    <row r="30" spans="2:8" x14ac:dyDescent="0.35">
      <c r="B30" s="249" t="s">
        <v>377</v>
      </c>
      <c r="C30" s="251">
        <f>C18</f>
        <v>0.10772054964422137</v>
      </c>
    </row>
    <row r="31" spans="2:8" x14ac:dyDescent="0.35">
      <c r="B31" s="249" t="s">
        <v>380</v>
      </c>
      <c r="C31" s="252">
        <f>C17</f>
        <v>2.5000000000000001E-2</v>
      </c>
    </row>
    <row r="32" spans="2:8" ht="15" thickBot="1" x14ac:dyDescent="0.4"/>
    <row r="33" spans="2:10" ht="15.5" thickTop="1" thickBot="1" x14ac:dyDescent="0.4">
      <c r="B33" s="254" t="s">
        <v>378</v>
      </c>
      <c r="C33" s="255">
        <f>C29/(C30-C31)</f>
        <v>485023.06805110676</v>
      </c>
    </row>
    <row r="34" spans="2:10" ht="15" thickTop="1" x14ac:dyDescent="0.35">
      <c r="B34" s="2"/>
      <c r="C34" s="390"/>
    </row>
    <row r="35" spans="2:10" x14ac:dyDescent="0.35">
      <c r="B35" s="48" t="s">
        <v>381</v>
      </c>
      <c r="C35" s="25"/>
    </row>
    <row r="36" spans="2:10" ht="4.25" customHeight="1" x14ac:dyDescent="0.35">
      <c r="B36" s="2"/>
      <c r="C36" s="390"/>
    </row>
    <row r="37" spans="2:10" x14ac:dyDescent="0.35">
      <c r="B37" s="246" t="s">
        <v>374</v>
      </c>
      <c r="C37" s="178">
        <f>SUM(D26:H26)</f>
        <v>114000.23230284074</v>
      </c>
    </row>
    <row r="38" spans="2:10" x14ac:dyDescent="0.35">
      <c r="B38" s="246" t="s">
        <v>382</v>
      </c>
      <c r="C38" s="178">
        <f>C33*H24</f>
        <v>290811.33622409235</v>
      </c>
      <c r="J38" s="253" t="s">
        <v>595</v>
      </c>
    </row>
    <row r="39" spans="2:10" x14ac:dyDescent="0.35">
      <c r="B39" s="103" t="s">
        <v>383</v>
      </c>
      <c r="C39" s="247">
        <f>SUM(C37:C38)</f>
        <v>404811.56852693309</v>
      </c>
    </row>
    <row r="40" spans="2:10" x14ac:dyDescent="0.35">
      <c r="B40" s="248" t="s">
        <v>384</v>
      </c>
      <c r="C40" s="178">
        <f>'Forecasted Cash Flow '!G21</f>
        <v>10057.530000000001</v>
      </c>
    </row>
    <row r="41" spans="2:10" x14ac:dyDescent="0.35">
      <c r="B41" s="248" t="s">
        <v>385</v>
      </c>
      <c r="C41" s="178">
        <f>'Forcasted Balance Sheet '!G25</f>
        <v>84956.39</v>
      </c>
    </row>
    <row r="42" spans="2:10" x14ac:dyDescent="0.35">
      <c r="B42" s="103" t="s">
        <v>145</v>
      </c>
      <c r="C42" s="247">
        <f>C39+C40-C41</f>
        <v>329912.7085269331</v>
      </c>
    </row>
    <row r="43" spans="2:10" x14ac:dyDescent="0.35">
      <c r="B43" s="246" t="s">
        <v>386</v>
      </c>
      <c r="C43" s="178">
        <f>'Forcasted Balance Sheet '!G17</f>
        <v>1247.44</v>
      </c>
    </row>
    <row r="44" spans="2:10" x14ac:dyDescent="0.35">
      <c r="B44" s="103" t="s">
        <v>387</v>
      </c>
      <c r="C44" s="247">
        <f>C42/C43</f>
        <v>264.4718050783469</v>
      </c>
    </row>
    <row r="46" spans="2:10" ht="16" thickBot="1" x14ac:dyDescent="0.4">
      <c r="B46" s="234" t="s">
        <v>404</v>
      </c>
      <c r="C46" s="234"/>
      <c r="D46" s="234"/>
      <c r="E46" s="234"/>
      <c r="F46" s="234"/>
      <c r="G46" s="234"/>
    </row>
    <row r="47" spans="2:10" ht="15" thickTop="1" x14ac:dyDescent="0.35"/>
    <row r="48" spans="2:10" x14ac:dyDescent="0.35">
      <c r="B48" s="135" t="s">
        <v>405</v>
      </c>
    </row>
    <row r="49" spans="2:8" ht="15" thickBot="1" x14ac:dyDescent="0.4">
      <c r="B49" s="174">
        <f>C44</f>
        <v>264.4718050783469</v>
      </c>
      <c r="C49" s="136">
        <v>0.1</v>
      </c>
      <c r="D49" s="136">
        <v>0.1077</v>
      </c>
      <c r="E49" s="136">
        <v>0.12</v>
      </c>
      <c r="F49" s="137">
        <v>0.13</v>
      </c>
      <c r="G49" s="138">
        <v>0.14000000000000001</v>
      </c>
      <c r="H49" s="391"/>
    </row>
    <row r="50" spans="2:8" x14ac:dyDescent="0.35">
      <c r="B50" s="139">
        <v>2.5000000000000001E-2</v>
      </c>
      <c r="C50" s="140">
        <f t="dataTable" ref="C50:G54" dt2D="1" dtr="1" r1="C30" r2="C31"/>
        <v>288.47000254323984</v>
      </c>
      <c r="D50" s="141">
        <v>264.52973333568349</v>
      </c>
      <c r="E50" s="141">
        <v>234.33848474515602</v>
      </c>
      <c r="F50" s="141">
        <v>215.00579981726889</v>
      </c>
      <c r="G50" s="141">
        <v>199.03532096379692</v>
      </c>
    </row>
    <row r="51" spans="2:8" x14ac:dyDescent="0.35">
      <c r="B51" s="142">
        <v>0.03</v>
      </c>
      <c r="C51" s="143">
        <v>306.83605322473267</v>
      </c>
      <c r="D51" s="144">
        <v>279.53516707656775</v>
      </c>
      <c r="E51" s="144">
        <v>245.61588428642349</v>
      </c>
      <c r="F51" s="144">
        <v>224.18882515801525</v>
      </c>
      <c r="G51" s="144">
        <v>206.65759496204493</v>
      </c>
    </row>
    <row r="52" spans="2:8" x14ac:dyDescent="0.35">
      <c r="B52" s="142">
        <v>3.5000000000000003E-2</v>
      </c>
      <c r="C52" s="143">
        <v>328.02765016491662</v>
      </c>
      <c r="D52" s="144">
        <v>296.6046219647539</v>
      </c>
      <c r="E52" s="144">
        <v>258.22003671489892</v>
      </c>
      <c r="F52" s="144">
        <v>234.33848474515602</v>
      </c>
      <c r="G52" s="144">
        <v>215.00579981726889</v>
      </c>
    </row>
    <row r="53" spans="2:8" x14ac:dyDescent="0.35">
      <c r="B53" s="145">
        <v>0.04</v>
      </c>
      <c r="C53" s="143">
        <v>352.75117992846441</v>
      </c>
      <c r="D53" s="144">
        <v>316.1954143548877</v>
      </c>
      <c r="E53" s="144">
        <v>272.39970819693377</v>
      </c>
      <c r="F53" s="144">
        <v>245.61588428642349</v>
      </c>
      <c r="G53" s="144">
        <v>224.18882515801525</v>
      </c>
    </row>
    <row r="54" spans="2:8" x14ac:dyDescent="0.35">
      <c r="B54" s="145">
        <v>4.4999999999999998E-2</v>
      </c>
      <c r="C54" s="143">
        <v>381.9698969217485</v>
      </c>
      <c r="D54" s="144">
        <v>338.91073503690899</v>
      </c>
      <c r="E54" s="144">
        <v>288.47000254323996</v>
      </c>
      <c r="F54" s="144">
        <v>258.22003671489887</v>
      </c>
      <c r="G54" s="144">
        <v>234.33848474515597</v>
      </c>
    </row>
    <row r="55" spans="2:8" x14ac:dyDescent="0.35">
      <c r="B55" s="391"/>
    </row>
  </sheetData>
  <mergeCells count="3">
    <mergeCell ref="B28:C28"/>
    <mergeCell ref="B1:L2"/>
    <mergeCell ref="B46:G46"/>
  </mergeCells>
  <pageMargins left="0.70866141732283472" right="0.70866141732283472" top="0.74803149606299213" bottom="0.74803149606299213" header="0.31496062992125984" footer="0.31496062992125984"/>
  <pageSetup paperSize="143" scale="68" fitToWidth="0" pageOrder="overThenDown"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0ACA-C60B-4367-BD9B-2EB36A309D0C}">
  <dimension ref="A1:H10"/>
  <sheetViews>
    <sheetView showGridLines="0" workbookViewId="0">
      <selection activeCell="B1" sqref="B1:G2"/>
    </sheetView>
  </sheetViews>
  <sheetFormatPr defaultRowHeight="14.5" x14ac:dyDescent="0.35"/>
  <cols>
    <col min="1" max="1" width="1.90625" style="253" customWidth="1"/>
    <col min="2" max="2" width="18.08984375" style="253" bestFit="1" customWidth="1"/>
    <col min="3" max="7" width="8.7265625" style="253"/>
  </cols>
  <sheetData>
    <row r="1" spans="2:8" ht="14.4" customHeight="1" x14ac:dyDescent="0.35">
      <c r="B1" s="387" t="s">
        <v>406</v>
      </c>
      <c r="C1" s="387"/>
      <c r="D1" s="387"/>
      <c r="E1" s="387"/>
      <c r="F1" s="387"/>
      <c r="G1" s="387"/>
    </row>
    <row r="2" spans="2:8" ht="14.4" customHeight="1" x14ac:dyDescent="0.35">
      <c r="B2" s="387"/>
      <c r="C2" s="387"/>
      <c r="D2" s="387"/>
      <c r="E2" s="387"/>
      <c r="F2" s="387"/>
      <c r="G2" s="387"/>
    </row>
    <row r="4" spans="2:8" x14ac:dyDescent="0.35">
      <c r="B4" s="124" t="s">
        <v>407</v>
      </c>
      <c r="D4" s="124" t="s">
        <v>413</v>
      </c>
      <c r="E4" s="124" t="s">
        <v>150</v>
      </c>
      <c r="F4" s="135" t="s">
        <v>412</v>
      </c>
      <c r="G4" s="124" t="s">
        <v>414</v>
      </c>
    </row>
    <row r="5" spans="2:8" x14ac:dyDescent="0.35">
      <c r="B5" s="147" t="s">
        <v>408</v>
      </c>
      <c r="C5" s="246"/>
      <c r="D5" s="144">
        <v>244.4</v>
      </c>
      <c r="E5" s="144">
        <v>353.6</v>
      </c>
      <c r="F5" s="144">
        <v>244.4</v>
      </c>
      <c r="G5" s="386">
        <f>E5-F5</f>
        <v>109.20000000000002</v>
      </c>
    </row>
    <row r="6" spans="2:8" x14ac:dyDescent="0.35">
      <c r="B6" s="147" t="s">
        <v>409</v>
      </c>
      <c r="C6" s="246"/>
      <c r="D6" s="144">
        <v>245.5</v>
      </c>
      <c r="E6" s="144">
        <v>245.5</v>
      </c>
      <c r="F6" s="144">
        <v>245.5</v>
      </c>
      <c r="G6" s="144">
        <v>2</v>
      </c>
    </row>
    <row r="7" spans="2:8" x14ac:dyDescent="0.35">
      <c r="B7" s="147" t="s">
        <v>410</v>
      </c>
      <c r="C7" s="246"/>
      <c r="D7" s="144">
        <v>251.6</v>
      </c>
      <c r="E7" s="144">
        <v>251.6</v>
      </c>
      <c r="F7" s="144">
        <v>251.6</v>
      </c>
      <c r="G7" s="144">
        <v>2</v>
      </c>
      <c r="H7" s="146"/>
    </row>
    <row r="8" spans="2:8" x14ac:dyDescent="0.35">
      <c r="B8" s="147" t="s">
        <v>411</v>
      </c>
      <c r="C8" s="246"/>
      <c r="D8" s="144">
        <v>185</v>
      </c>
      <c r="E8" s="144">
        <v>185</v>
      </c>
      <c r="F8" s="144">
        <v>185</v>
      </c>
      <c r="G8" s="144">
        <v>2</v>
      </c>
    </row>
    <row r="10" spans="2:8" x14ac:dyDescent="0.35">
      <c r="B10" s="127"/>
    </row>
  </sheetData>
  <mergeCells count="1">
    <mergeCell ref="B1:G2"/>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52E48-141D-4BD2-89B0-BFCFCBF82052}">
  <sheetPr>
    <tabColor rgb="FF002060"/>
  </sheetPr>
  <dimension ref="A1"/>
  <sheetViews>
    <sheetView workbookViewId="0"/>
  </sheetViews>
  <sheetFormatPr defaultRowHeight="14.5" x14ac:dyDescent="0.3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48DF-F6B1-4463-A3E8-9A49E8CCBBEA}">
  <dimension ref="A1:E991"/>
  <sheetViews>
    <sheetView workbookViewId="0">
      <selection activeCell="F28" sqref="F28"/>
    </sheetView>
  </sheetViews>
  <sheetFormatPr defaultRowHeight="14.5" x14ac:dyDescent="0.35"/>
  <cols>
    <col min="1" max="1" width="10.36328125" bestFit="1" customWidth="1"/>
    <col min="2" max="2" width="7" bestFit="1" customWidth="1"/>
    <col min="3" max="3" width="10" bestFit="1" customWidth="1"/>
  </cols>
  <sheetData>
    <row r="1" spans="1:5" x14ac:dyDescent="0.35">
      <c r="A1" t="s">
        <v>502</v>
      </c>
      <c r="B1" t="s">
        <v>58</v>
      </c>
      <c r="C1" t="s">
        <v>503</v>
      </c>
    </row>
    <row r="2" spans="1:5" x14ac:dyDescent="0.35">
      <c r="A2" s="171">
        <v>46234</v>
      </c>
      <c r="B2">
        <v>189.69</v>
      </c>
      <c r="C2">
        <v>34250000</v>
      </c>
      <c r="E2">
        <v>1000000</v>
      </c>
    </row>
    <row r="3" spans="1:5" x14ac:dyDescent="0.35">
      <c r="A3" s="171">
        <v>46233</v>
      </c>
      <c r="B3">
        <v>186.92</v>
      </c>
      <c r="C3">
        <v>13770000</v>
      </c>
    </row>
    <row r="4" spans="1:5" x14ac:dyDescent="0.35">
      <c r="A4" s="171">
        <v>46232</v>
      </c>
      <c r="B4">
        <v>187.27</v>
      </c>
      <c r="C4">
        <v>24870000</v>
      </c>
    </row>
    <row r="5" spans="1:5" x14ac:dyDescent="0.35">
      <c r="A5" s="171">
        <v>46231</v>
      </c>
      <c r="B5">
        <v>182.63</v>
      </c>
      <c r="C5">
        <v>19140000</v>
      </c>
    </row>
    <row r="6" spans="1:5" x14ac:dyDescent="0.35">
      <c r="A6" s="171">
        <v>46230</v>
      </c>
      <c r="B6">
        <v>184.25</v>
      </c>
      <c r="C6">
        <v>11860000</v>
      </c>
    </row>
    <row r="7" spans="1:5" x14ac:dyDescent="0.35">
      <c r="A7" s="171">
        <v>46227</v>
      </c>
      <c r="B7">
        <v>182.67</v>
      </c>
      <c r="C7">
        <v>16120000.000000002</v>
      </c>
    </row>
    <row r="8" spans="1:5" x14ac:dyDescent="0.35">
      <c r="A8" s="171">
        <v>46226</v>
      </c>
      <c r="B8">
        <v>184.23</v>
      </c>
      <c r="C8">
        <v>20580000</v>
      </c>
    </row>
    <row r="9" spans="1:5" x14ac:dyDescent="0.35">
      <c r="A9" s="171">
        <v>46225</v>
      </c>
      <c r="B9">
        <v>186.53</v>
      </c>
      <c r="C9">
        <v>16640000</v>
      </c>
    </row>
    <row r="10" spans="1:5" x14ac:dyDescent="0.35">
      <c r="A10" s="171">
        <v>46224</v>
      </c>
      <c r="B10">
        <v>187.24</v>
      </c>
      <c r="C10">
        <v>21620000</v>
      </c>
    </row>
    <row r="11" spans="1:5" x14ac:dyDescent="0.35">
      <c r="A11" s="171">
        <v>46223</v>
      </c>
      <c r="B11">
        <v>186.41</v>
      </c>
      <c r="C11">
        <v>11190000</v>
      </c>
    </row>
    <row r="12" spans="1:5" x14ac:dyDescent="0.35">
      <c r="A12" s="171">
        <v>46220</v>
      </c>
      <c r="B12">
        <v>185.89</v>
      </c>
      <c r="C12">
        <v>20130000</v>
      </c>
    </row>
    <row r="13" spans="1:5" x14ac:dyDescent="0.35">
      <c r="A13" s="171">
        <v>46219</v>
      </c>
      <c r="B13">
        <v>185.49</v>
      </c>
      <c r="C13">
        <v>13170000</v>
      </c>
    </row>
    <row r="14" spans="1:5" x14ac:dyDescent="0.35">
      <c r="A14" s="171">
        <v>46218</v>
      </c>
      <c r="B14">
        <v>185.26</v>
      </c>
      <c r="C14">
        <v>24920000</v>
      </c>
    </row>
    <row r="15" spans="1:5" x14ac:dyDescent="0.35">
      <c r="A15" s="171">
        <v>46217</v>
      </c>
      <c r="B15">
        <v>188.27</v>
      </c>
      <c r="C15">
        <v>24100000</v>
      </c>
    </row>
    <row r="16" spans="1:5" x14ac:dyDescent="0.35">
      <c r="A16" s="171">
        <v>46216</v>
      </c>
      <c r="B16">
        <v>187.11</v>
      </c>
      <c r="C16">
        <v>47600000</v>
      </c>
    </row>
    <row r="17" spans="1:3" x14ac:dyDescent="0.35">
      <c r="A17" s="171">
        <v>46213</v>
      </c>
      <c r="B17">
        <v>191.19</v>
      </c>
      <c r="C17">
        <v>23150000</v>
      </c>
    </row>
    <row r="18" spans="1:3" x14ac:dyDescent="0.35">
      <c r="A18" s="171">
        <v>46212</v>
      </c>
      <c r="B18">
        <v>187.91</v>
      </c>
      <c r="C18">
        <v>21200000</v>
      </c>
    </row>
    <row r="19" spans="1:3" x14ac:dyDescent="0.35">
      <c r="A19" s="171">
        <v>46211</v>
      </c>
      <c r="B19">
        <v>188.2</v>
      </c>
      <c r="C19">
        <v>17820000</v>
      </c>
    </row>
    <row r="20" spans="1:3" x14ac:dyDescent="0.35">
      <c r="A20" s="171">
        <v>46210</v>
      </c>
      <c r="B20">
        <v>189.79</v>
      </c>
      <c r="C20">
        <v>22810000</v>
      </c>
    </row>
    <row r="21" spans="1:3" x14ac:dyDescent="0.35">
      <c r="A21" s="171">
        <v>46209</v>
      </c>
      <c r="B21">
        <v>190.87</v>
      </c>
      <c r="C21">
        <v>14470000</v>
      </c>
    </row>
    <row r="22" spans="1:3" x14ac:dyDescent="0.35">
      <c r="A22" s="171">
        <v>46206</v>
      </c>
      <c r="B22">
        <v>189.8</v>
      </c>
      <c r="C22">
        <v>28470000</v>
      </c>
    </row>
    <row r="23" spans="1:3" x14ac:dyDescent="0.35">
      <c r="A23" s="171">
        <v>46205</v>
      </c>
      <c r="B23">
        <v>187.67</v>
      </c>
      <c r="C23">
        <v>29140000</v>
      </c>
    </row>
    <row r="24" spans="1:3" x14ac:dyDescent="0.35">
      <c r="A24" s="171">
        <v>46204</v>
      </c>
      <c r="B24">
        <v>185.17</v>
      </c>
      <c r="C24">
        <v>20610000</v>
      </c>
    </row>
    <row r="25" spans="1:3" x14ac:dyDescent="0.35">
      <c r="A25" s="171">
        <v>46203</v>
      </c>
      <c r="B25">
        <v>188.06</v>
      </c>
      <c r="C25">
        <v>33690000</v>
      </c>
    </row>
    <row r="26" spans="1:3" x14ac:dyDescent="0.35">
      <c r="A26" s="171">
        <v>46202</v>
      </c>
      <c r="B26">
        <v>189.57</v>
      </c>
      <c r="C26">
        <v>62550000</v>
      </c>
    </row>
    <row r="27" spans="1:3" x14ac:dyDescent="0.35">
      <c r="A27" s="171">
        <v>46198</v>
      </c>
      <c r="B27">
        <v>188.71</v>
      </c>
      <c r="C27">
        <v>34150000</v>
      </c>
    </row>
    <row r="28" spans="1:3" x14ac:dyDescent="0.35">
      <c r="A28" s="171">
        <v>46197</v>
      </c>
      <c r="B28">
        <v>190.16</v>
      </c>
      <c r="C28">
        <v>51310000</v>
      </c>
    </row>
    <row r="29" spans="1:3" x14ac:dyDescent="0.35">
      <c r="A29" s="171">
        <v>46196</v>
      </c>
      <c r="B29">
        <v>193.56</v>
      </c>
      <c r="C29">
        <v>34630000</v>
      </c>
    </row>
    <row r="30" spans="1:3" x14ac:dyDescent="0.35">
      <c r="A30" s="171">
        <v>46195</v>
      </c>
      <c r="B30">
        <v>198.97</v>
      </c>
      <c r="C30">
        <v>19240000</v>
      </c>
    </row>
    <row r="31" spans="1:3" x14ac:dyDescent="0.35">
      <c r="A31" s="171">
        <v>46192</v>
      </c>
      <c r="B31">
        <v>198.96</v>
      </c>
      <c r="C31">
        <v>31570000</v>
      </c>
    </row>
    <row r="32" spans="1:3" x14ac:dyDescent="0.35">
      <c r="A32" s="171">
        <v>46191</v>
      </c>
      <c r="B32">
        <v>200.52</v>
      </c>
      <c r="C32">
        <v>22110000</v>
      </c>
    </row>
    <row r="33" spans="1:3" x14ac:dyDescent="0.35">
      <c r="A33" s="171">
        <v>46190</v>
      </c>
      <c r="B33">
        <v>199.01</v>
      </c>
      <c r="C33">
        <v>22490000</v>
      </c>
    </row>
    <row r="34" spans="1:3" x14ac:dyDescent="0.35">
      <c r="A34" s="171">
        <v>46189</v>
      </c>
      <c r="B34">
        <v>196</v>
      </c>
      <c r="C34">
        <v>29260000</v>
      </c>
    </row>
    <row r="35" spans="1:3" x14ac:dyDescent="0.35">
      <c r="A35" s="171">
        <v>46188</v>
      </c>
      <c r="B35">
        <v>197.28</v>
      </c>
      <c r="C35">
        <v>27070000</v>
      </c>
    </row>
    <row r="36" spans="1:3" x14ac:dyDescent="0.35">
      <c r="A36" s="171">
        <v>46185</v>
      </c>
      <c r="B36">
        <v>197.86</v>
      </c>
      <c r="C36">
        <v>27620000</v>
      </c>
    </row>
    <row r="37" spans="1:3" x14ac:dyDescent="0.35">
      <c r="A37" s="171">
        <v>46184</v>
      </c>
      <c r="B37">
        <v>197.96</v>
      </c>
      <c r="C37">
        <v>38290000</v>
      </c>
    </row>
    <row r="38" spans="1:3" x14ac:dyDescent="0.35">
      <c r="A38" s="171">
        <v>46183</v>
      </c>
      <c r="B38">
        <v>199.31</v>
      </c>
      <c r="C38">
        <v>34010000</v>
      </c>
    </row>
    <row r="39" spans="1:3" x14ac:dyDescent="0.35">
      <c r="A39" s="171">
        <v>46182</v>
      </c>
      <c r="B39">
        <v>203.18</v>
      </c>
      <c r="C39">
        <v>42110000</v>
      </c>
    </row>
    <row r="40" spans="1:3" x14ac:dyDescent="0.35">
      <c r="A40" s="171">
        <v>46181</v>
      </c>
      <c r="B40">
        <v>202.72</v>
      </c>
      <c r="C40">
        <v>31040000</v>
      </c>
    </row>
    <row r="41" spans="1:3" x14ac:dyDescent="0.35">
      <c r="A41" s="171">
        <v>46178</v>
      </c>
      <c r="B41">
        <v>206.77</v>
      </c>
      <c r="C41">
        <v>35800000</v>
      </c>
    </row>
    <row r="42" spans="1:3" x14ac:dyDescent="0.35">
      <c r="A42" s="171">
        <v>46177</v>
      </c>
      <c r="B42">
        <v>210.57</v>
      </c>
      <c r="C42">
        <v>18940000</v>
      </c>
    </row>
    <row r="43" spans="1:3" x14ac:dyDescent="0.35">
      <c r="A43" s="171">
        <v>46176</v>
      </c>
      <c r="B43">
        <v>211.89</v>
      </c>
      <c r="C43">
        <v>23200000</v>
      </c>
    </row>
    <row r="44" spans="1:3" x14ac:dyDescent="0.35">
      <c r="A44" s="171">
        <v>46175</v>
      </c>
      <c r="B44">
        <v>210.6</v>
      </c>
      <c r="C44">
        <v>29360000</v>
      </c>
    </row>
    <row r="45" spans="1:3" x14ac:dyDescent="0.35">
      <c r="A45" s="171">
        <v>46174</v>
      </c>
      <c r="B45">
        <v>210.57</v>
      </c>
      <c r="C45">
        <v>23730000</v>
      </c>
    </row>
    <row r="46" spans="1:3" x14ac:dyDescent="0.35">
      <c r="A46" s="171">
        <v>46171</v>
      </c>
      <c r="B46">
        <v>208.02</v>
      </c>
      <c r="C46">
        <v>67470000</v>
      </c>
    </row>
    <row r="47" spans="1:3" x14ac:dyDescent="0.35">
      <c r="A47" s="171">
        <v>46169</v>
      </c>
      <c r="B47">
        <v>214.7</v>
      </c>
      <c r="C47">
        <v>39110000</v>
      </c>
    </row>
    <row r="48" spans="1:3" x14ac:dyDescent="0.35">
      <c r="A48" s="171">
        <v>46168</v>
      </c>
      <c r="B48">
        <v>210.47</v>
      </c>
      <c r="C48">
        <v>17800000</v>
      </c>
    </row>
    <row r="49" spans="1:3" x14ac:dyDescent="0.35">
      <c r="A49" s="171">
        <v>46167</v>
      </c>
      <c r="B49">
        <v>210.22</v>
      </c>
      <c r="C49">
        <v>23090000</v>
      </c>
    </row>
    <row r="50" spans="1:3" x14ac:dyDescent="0.35">
      <c r="A50" s="171">
        <v>46164</v>
      </c>
      <c r="B50">
        <v>209.19</v>
      </c>
      <c r="C50">
        <v>22020000</v>
      </c>
    </row>
    <row r="51" spans="1:3" x14ac:dyDescent="0.35">
      <c r="A51" s="171">
        <v>46163</v>
      </c>
      <c r="B51">
        <v>208.58</v>
      </c>
      <c r="C51">
        <v>24390000</v>
      </c>
    </row>
    <row r="52" spans="1:3" x14ac:dyDescent="0.35">
      <c r="A52" s="171">
        <v>46162</v>
      </c>
      <c r="B52">
        <v>207.01</v>
      </c>
      <c r="C52">
        <v>56670000</v>
      </c>
    </row>
    <row r="53" spans="1:3" x14ac:dyDescent="0.35">
      <c r="A53" s="171">
        <v>46161</v>
      </c>
      <c r="B53">
        <v>209.29</v>
      </c>
      <c r="C53">
        <v>32570000</v>
      </c>
    </row>
    <row r="54" spans="1:3" x14ac:dyDescent="0.35">
      <c r="A54" s="171">
        <v>46160</v>
      </c>
      <c r="B54">
        <v>209.71</v>
      </c>
      <c r="C54">
        <v>73800000</v>
      </c>
    </row>
    <row r="55" spans="1:3" x14ac:dyDescent="0.35">
      <c r="A55" s="171">
        <v>46157</v>
      </c>
      <c r="B55">
        <v>216.84</v>
      </c>
      <c r="C55">
        <v>33229999.999999996</v>
      </c>
    </row>
    <row r="56" spans="1:3" x14ac:dyDescent="0.35">
      <c r="A56" s="171">
        <v>46156</v>
      </c>
      <c r="B56">
        <v>221.13</v>
      </c>
      <c r="C56">
        <v>34990000</v>
      </c>
    </row>
    <row r="57" spans="1:3" x14ac:dyDescent="0.35">
      <c r="A57" s="171">
        <v>46155</v>
      </c>
      <c r="B57">
        <v>219.62</v>
      </c>
      <c r="C57">
        <v>46230000</v>
      </c>
    </row>
    <row r="58" spans="1:3" x14ac:dyDescent="0.35">
      <c r="A58" s="171">
        <v>46154</v>
      </c>
      <c r="B58">
        <v>212</v>
      </c>
      <c r="C58">
        <v>28370000</v>
      </c>
    </row>
    <row r="59" spans="1:3" x14ac:dyDescent="0.35">
      <c r="A59" s="171">
        <v>46153</v>
      </c>
      <c r="B59">
        <v>212.08</v>
      </c>
      <c r="C59">
        <v>16300000</v>
      </c>
    </row>
    <row r="60" spans="1:3" x14ac:dyDescent="0.35">
      <c r="A60" s="171">
        <v>46150</v>
      </c>
      <c r="B60">
        <v>214.49</v>
      </c>
      <c r="C60">
        <v>17760000</v>
      </c>
    </row>
    <row r="61" spans="1:3" x14ac:dyDescent="0.35">
      <c r="A61" s="171">
        <v>46149</v>
      </c>
      <c r="B61">
        <v>217.09</v>
      </c>
      <c r="C61">
        <v>21240000</v>
      </c>
    </row>
    <row r="62" spans="1:3" x14ac:dyDescent="0.35">
      <c r="A62" s="171">
        <v>46148</v>
      </c>
      <c r="B62">
        <v>215.47</v>
      </c>
      <c r="C62">
        <v>24080000</v>
      </c>
    </row>
    <row r="63" spans="1:3" x14ac:dyDescent="0.35">
      <c r="A63" s="171">
        <v>46147</v>
      </c>
      <c r="B63">
        <v>211.32</v>
      </c>
      <c r="C63">
        <v>20730000</v>
      </c>
    </row>
    <row r="64" spans="1:3" x14ac:dyDescent="0.35">
      <c r="A64" s="171">
        <v>46146</v>
      </c>
      <c r="B64">
        <v>212.24</v>
      </c>
      <c r="C64">
        <v>23140000</v>
      </c>
    </row>
    <row r="65" spans="1:3" x14ac:dyDescent="0.35">
      <c r="A65" s="171">
        <v>46142</v>
      </c>
      <c r="B65">
        <v>211.36</v>
      </c>
      <c r="C65">
        <v>24890000</v>
      </c>
    </row>
    <row r="66" spans="1:3" x14ac:dyDescent="0.35">
      <c r="A66" s="171">
        <v>46141</v>
      </c>
      <c r="B66">
        <v>215.88</v>
      </c>
      <c r="C66">
        <v>32799999.999999996</v>
      </c>
    </row>
    <row r="67" spans="1:3" x14ac:dyDescent="0.35">
      <c r="A67" s="171">
        <v>46140</v>
      </c>
      <c r="B67">
        <v>215.05</v>
      </c>
      <c r="C67">
        <v>34950000</v>
      </c>
    </row>
    <row r="68" spans="1:3" x14ac:dyDescent="0.35">
      <c r="A68" s="171">
        <v>46139</v>
      </c>
      <c r="B68">
        <v>213.27</v>
      </c>
      <c r="C68">
        <v>33070000</v>
      </c>
    </row>
    <row r="69" spans="1:3" x14ac:dyDescent="0.35">
      <c r="A69" s="171">
        <v>46136</v>
      </c>
      <c r="B69">
        <v>210.07</v>
      </c>
      <c r="C69">
        <v>22380000</v>
      </c>
    </row>
    <row r="70" spans="1:3" x14ac:dyDescent="0.35">
      <c r="A70" s="171">
        <v>46135</v>
      </c>
      <c r="B70">
        <v>210.91</v>
      </c>
      <c r="C70">
        <v>19300000</v>
      </c>
    </row>
    <row r="71" spans="1:3" x14ac:dyDescent="0.35">
      <c r="A71" s="171">
        <v>46134</v>
      </c>
      <c r="B71">
        <v>213.03</v>
      </c>
      <c r="C71">
        <v>20800000</v>
      </c>
    </row>
    <row r="72" spans="1:3" x14ac:dyDescent="0.35">
      <c r="A72" s="171">
        <v>46133</v>
      </c>
      <c r="B72">
        <v>212.01</v>
      </c>
      <c r="C72">
        <v>17430000</v>
      </c>
    </row>
    <row r="73" spans="1:3" x14ac:dyDescent="0.35">
      <c r="A73" s="171">
        <v>46132</v>
      </c>
      <c r="B73">
        <v>211.72</v>
      </c>
      <c r="C73">
        <v>24990000</v>
      </c>
    </row>
    <row r="74" spans="1:3" x14ac:dyDescent="0.35">
      <c r="A74" s="171">
        <v>46129</v>
      </c>
      <c r="B74">
        <v>212.12</v>
      </c>
      <c r="C74">
        <v>22840000</v>
      </c>
    </row>
    <row r="75" spans="1:3" x14ac:dyDescent="0.35">
      <c r="A75" s="171">
        <v>46128</v>
      </c>
      <c r="B75">
        <v>210.69</v>
      </c>
      <c r="C75">
        <v>26750000</v>
      </c>
    </row>
    <row r="76" spans="1:3" x14ac:dyDescent="0.35">
      <c r="A76" s="171">
        <v>46127</v>
      </c>
      <c r="B76">
        <v>208.72</v>
      </c>
      <c r="C76">
        <v>30860000</v>
      </c>
    </row>
    <row r="77" spans="1:3" x14ac:dyDescent="0.35">
      <c r="A77" s="171">
        <v>46125</v>
      </c>
      <c r="B77">
        <v>206.39</v>
      </c>
      <c r="C77">
        <v>25850000</v>
      </c>
    </row>
    <row r="78" spans="1:3" x14ac:dyDescent="0.35">
      <c r="A78" s="171">
        <v>46122</v>
      </c>
      <c r="B78">
        <v>206.61</v>
      </c>
      <c r="C78">
        <v>28390000</v>
      </c>
    </row>
    <row r="79" spans="1:3" x14ac:dyDescent="0.35">
      <c r="A79" s="171">
        <v>46121</v>
      </c>
      <c r="B79">
        <v>205.2</v>
      </c>
      <c r="C79">
        <v>36850000</v>
      </c>
    </row>
    <row r="80" spans="1:3" x14ac:dyDescent="0.35">
      <c r="A80" s="171">
        <v>46120</v>
      </c>
      <c r="B80">
        <v>204.18</v>
      </c>
      <c r="C80">
        <v>37020000</v>
      </c>
    </row>
    <row r="81" spans="1:3" x14ac:dyDescent="0.35">
      <c r="A81" s="171">
        <v>46119</v>
      </c>
      <c r="B81">
        <v>198.13</v>
      </c>
      <c r="C81">
        <v>32090000.000000004</v>
      </c>
    </row>
    <row r="82" spans="1:3" x14ac:dyDescent="0.35">
      <c r="A82" s="171">
        <v>46118</v>
      </c>
      <c r="B82">
        <v>196.1</v>
      </c>
      <c r="C82">
        <v>28120000</v>
      </c>
    </row>
    <row r="83" spans="1:3" x14ac:dyDescent="0.35">
      <c r="A83" s="171">
        <v>46114</v>
      </c>
      <c r="B83">
        <v>194.14</v>
      </c>
      <c r="C83">
        <v>27630000</v>
      </c>
    </row>
    <row r="84" spans="1:3" x14ac:dyDescent="0.35">
      <c r="A84" s="171">
        <v>46113</v>
      </c>
      <c r="B84">
        <v>194.6</v>
      </c>
      <c r="C84">
        <v>35810000</v>
      </c>
    </row>
    <row r="85" spans="1:3" x14ac:dyDescent="0.35">
      <c r="A85" s="171">
        <v>46111</v>
      </c>
      <c r="B85">
        <v>191.86</v>
      </c>
      <c r="C85">
        <v>45910000</v>
      </c>
    </row>
    <row r="86" spans="1:3" x14ac:dyDescent="0.35">
      <c r="A86" s="171">
        <v>46108</v>
      </c>
      <c r="B86">
        <v>193.22</v>
      </c>
      <c r="C86">
        <v>36940000</v>
      </c>
    </row>
    <row r="87" spans="1:3" x14ac:dyDescent="0.35">
      <c r="A87" s="171">
        <v>46106</v>
      </c>
      <c r="B87">
        <v>196.65</v>
      </c>
      <c r="C87">
        <v>34770000</v>
      </c>
    </row>
    <row r="88" spans="1:3" x14ac:dyDescent="0.35">
      <c r="A88" s="171">
        <v>46105</v>
      </c>
      <c r="B88">
        <v>190.79</v>
      </c>
      <c r="C88">
        <v>34320000</v>
      </c>
    </row>
    <row r="89" spans="1:3" x14ac:dyDescent="0.35">
      <c r="A89" s="171">
        <v>46104</v>
      </c>
      <c r="B89">
        <v>187.17</v>
      </c>
      <c r="C89">
        <v>44390000</v>
      </c>
    </row>
    <row r="90" spans="1:3" x14ac:dyDescent="0.35">
      <c r="A90" s="171">
        <v>46101</v>
      </c>
      <c r="B90">
        <v>196.77</v>
      </c>
      <c r="C90">
        <v>46880000</v>
      </c>
    </row>
    <row r="91" spans="1:3" x14ac:dyDescent="0.35">
      <c r="A91" s="171">
        <v>46100</v>
      </c>
      <c r="B91">
        <v>190.51</v>
      </c>
      <c r="C91">
        <v>24150000</v>
      </c>
    </row>
    <row r="92" spans="1:3" x14ac:dyDescent="0.35">
      <c r="A92" s="171">
        <v>46099</v>
      </c>
      <c r="B92">
        <v>195.41</v>
      </c>
      <c r="C92">
        <v>26350000</v>
      </c>
    </row>
    <row r="93" spans="1:3" x14ac:dyDescent="0.35">
      <c r="A93" s="171">
        <v>46098</v>
      </c>
      <c r="B93">
        <v>195.43</v>
      </c>
      <c r="C93">
        <v>45670000</v>
      </c>
    </row>
    <row r="94" spans="1:3" x14ac:dyDescent="0.35">
      <c r="A94" s="171">
        <v>46097</v>
      </c>
      <c r="B94">
        <v>186.94</v>
      </c>
      <c r="C94">
        <v>44790000</v>
      </c>
    </row>
    <row r="95" spans="1:3" x14ac:dyDescent="0.35">
      <c r="A95" s="171">
        <v>46094</v>
      </c>
      <c r="B95">
        <v>183.51</v>
      </c>
      <c r="C95">
        <v>42680000</v>
      </c>
    </row>
    <row r="96" spans="1:3" x14ac:dyDescent="0.35">
      <c r="A96" s="171">
        <v>46093</v>
      </c>
      <c r="B96">
        <v>193.47</v>
      </c>
      <c r="C96">
        <v>24410000</v>
      </c>
    </row>
    <row r="97" spans="1:3" x14ac:dyDescent="0.35">
      <c r="A97" s="171">
        <v>46092</v>
      </c>
      <c r="B97">
        <v>194.74</v>
      </c>
      <c r="C97">
        <v>34210000</v>
      </c>
    </row>
    <row r="98" spans="1:3" x14ac:dyDescent="0.35">
      <c r="A98" s="171">
        <v>46091</v>
      </c>
      <c r="B98">
        <v>195</v>
      </c>
      <c r="C98">
        <v>25780000</v>
      </c>
    </row>
    <row r="99" spans="1:3" x14ac:dyDescent="0.35">
      <c r="A99" s="171">
        <v>46090</v>
      </c>
      <c r="B99">
        <v>191.01</v>
      </c>
      <c r="C99">
        <v>43020000</v>
      </c>
    </row>
    <row r="100" spans="1:3" x14ac:dyDescent="0.35">
      <c r="A100" s="171">
        <v>46087</v>
      </c>
      <c r="B100">
        <v>198.46</v>
      </c>
      <c r="C100">
        <v>28550000</v>
      </c>
    </row>
    <row r="101" spans="1:3" x14ac:dyDescent="0.35">
      <c r="A101" s="171">
        <v>46086</v>
      </c>
      <c r="B101">
        <v>200.57</v>
      </c>
      <c r="C101">
        <v>41030000</v>
      </c>
    </row>
    <row r="102" spans="1:3" x14ac:dyDescent="0.35">
      <c r="A102" s="171">
        <v>46085</v>
      </c>
      <c r="B102">
        <v>196.73</v>
      </c>
      <c r="C102">
        <v>72100000</v>
      </c>
    </row>
    <row r="103" spans="1:3" x14ac:dyDescent="0.35">
      <c r="A103" s="171">
        <v>46083</v>
      </c>
      <c r="B103">
        <v>211.01</v>
      </c>
      <c r="C103">
        <v>30520000</v>
      </c>
    </row>
    <row r="104" spans="1:3" x14ac:dyDescent="0.35">
      <c r="A104" s="171">
        <v>46080</v>
      </c>
      <c r="B104">
        <v>212.33</v>
      </c>
      <c r="C104">
        <v>25600000</v>
      </c>
    </row>
    <row r="105" spans="1:3" x14ac:dyDescent="0.35">
      <c r="A105" s="171">
        <v>46079</v>
      </c>
      <c r="B105">
        <v>215.52</v>
      </c>
      <c r="C105">
        <v>25520000</v>
      </c>
    </row>
    <row r="106" spans="1:3" x14ac:dyDescent="0.35">
      <c r="A106" s="171">
        <v>46078</v>
      </c>
      <c r="B106">
        <v>214.64</v>
      </c>
      <c r="C106">
        <v>48870000</v>
      </c>
    </row>
    <row r="107" spans="1:3" x14ac:dyDescent="0.35">
      <c r="A107" s="171">
        <v>46077</v>
      </c>
      <c r="B107">
        <v>209.13</v>
      </c>
      <c r="C107">
        <v>23410000</v>
      </c>
    </row>
    <row r="108" spans="1:3" x14ac:dyDescent="0.35">
      <c r="A108" s="171">
        <v>46076</v>
      </c>
      <c r="B108">
        <v>208.14</v>
      </c>
      <c r="C108">
        <v>23380000</v>
      </c>
    </row>
    <row r="109" spans="1:3" x14ac:dyDescent="0.35">
      <c r="A109" s="171">
        <v>46073</v>
      </c>
      <c r="B109">
        <v>208.36</v>
      </c>
      <c r="C109">
        <v>26610000</v>
      </c>
    </row>
    <row r="110" spans="1:3" x14ac:dyDescent="0.35">
      <c r="A110" s="171">
        <v>46072</v>
      </c>
      <c r="B110">
        <v>205.41</v>
      </c>
      <c r="C110">
        <v>27750000</v>
      </c>
    </row>
    <row r="111" spans="1:3" x14ac:dyDescent="0.35">
      <c r="A111" s="171">
        <v>46071</v>
      </c>
      <c r="B111">
        <v>209.03</v>
      </c>
      <c r="C111">
        <v>48360000</v>
      </c>
    </row>
    <row r="112" spans="1:3" x14ac:dyDescent="0.35">
      <c r="A112" s="171">
        <v>46070</v>
      </c>
      <c r="B112">
        <v>203.08</v>
      </c>
      <c r="C112">
        <v>18510000</v>
      </c>
    </row>
    <row r="113" spans="1:3" x14ac:dyDescent="0.35">
      <c r="A113" s="171">
        <v>46069</v>
      </c>
      <c r="B113">
        <v>205.81</v>
      </c>
      <c r="C113">
        <v>17930000</v>
      </c>
    </row>
    <row r="114" spans="1:3" x14ac:dyDescent="0.35">
      <c r="A114" s="171">
        <v>46066</v>
      </c>
      <c r="B114">
        <v>203.18</v>
      </c>
      <c r="C114">
        <v>25870000</v>
      </c>
    </row>
    <row r="115" spans="1:3" x14ac:dyDescent="0.35">
      <c r="A115" s="171">
        <v>46065</v>
      </c>
      <c r="B115">
        <v>208.11</v>
      </c>
      <c r="C115">
        <v>24110000</v>
      </c>
    </row>
    <row r="116" spans="1:3" x14ac:dyDescent="0.35">
      <c r="A116" s="171">
        <v>46064</v>
      </c>
      <c r="B116">
        <v>207.59</v>
      </c>
      <c r="C116">
        <v>40900000</v>
      </c>
    </row>
    <row r="117" spans="1:3" x14ac:dyDescent="0.35">
      <c r="A117" s="171">
        <v>46063</v>
      </c>
      <c r="B117">
        <v>208.01</v>
      </c>
      <c r="C117">
        <v>82440000</v>
      </c>
    </row>
    <row r="118" spans="1:3" x14ac:dyDescent="0.35">
      <c r="A118" s="171">
        <v>46062</v>
      </c>
      <c r="B118">
        <v>202</v>
      </c>
      <c r="C118">
        <v>68970000</v>
      </c>
    </row>
    <row r="119" spans="1:3" x14ac:dyDescent="0.35">
      <c r="A119" s="171">
        <v>46059</v>
      </c>
      <c r="B119">
        <v>197.06</v>
      </c>
      <c r="C119">
        <v>18450000</v>
      </c>
    </row>
    <row r="120" spans="1:3" x14ac:dyDescent="0.35">
      <c r="A120" s="171">
        <v>46058</v>
      </c>
      <c r="B120">
        <v>197.76</v>
      </c>
      <c r="C120">
        <v>31290000</v>
      </c>
    </row>
    <row r="121" spans="1:3" x14ac:dyDescent="0.35">
      <c r="A121" s="171">
        <v>46057</v>
      </c>
      <c r="B121">
        <v>195.4</v>
      </c>
      <c r="C121">
        <v>13860000</v>
      </c>
    </row>
    <row r="122" spans="1:3" x14ac:dyDescent="0.35">
      <c r="A122" s="171">
        <v>46056</v>
      </c>
      <c r="B122">
        <v>192.93</v>
      </c>
      <c r="C122">
        <v>28470000</v>
      </c>
    </row>
    <row r="123" spans="1:3" x14ac:dyDescent="0.35">
      <c r="A123" s="171">
        <v>46055</v>
      </c>
      <c r="B123">
        <v>188.51</v>
      </c>
      <c r="C123">
        <v>25600000</v>
      </c>
    </row>
    <row r="124" spans="1:3" x14ac:dyDescent="0.35">
      <c r="A124" s="171">
        <v>46054</v>
      </c>
      <c r="B124">
        <v>185.38</v>
      </c>
      <c r="C124">
        <v>26530000</v>
      </c>
    </row>
    <row r="125" spans="1:3" x14ac:dyDescent="0.35">
      <c r="A125" s="171">
        <v>46052</v>
      </c>
      <c r="B125">
        <v>193.13</v>
      </c>
      <c r="C125">
        <v>52260000</v>
      </c>
    </row>
    <row r="126" spans="1:3" x14ac:dyDescent="0.35">
      <c r="A126" s="171">
        <v>46051</v>
      </c>
      <c r="B126">
        <v>202.32</v>
      </c>
      <c r="C126">
        <v>60610000</v>
      </c>
    </row>
    <row r="127" spans="1:3" x14ac:dyDescent="0.35">
      <c r="A127" s="171">
        <v>46050</v>
      </c>
      <c r="B127">
        <v>193.85</v>
      </c>
      <c r="C127">
        <v>33310000.000000004</v>
      </c>
    </row>
    <row r="128" spans="1:3" x14ac:dyDescent="0.35">
      <c r="A128" s="171">
        <v>46049</v>
      </c>
      <c r="B128">
        <v>192.28</v>
      </c>
      <c r="C128">
        <v>42310000</v>
      </c>
    </row>
    <row r="129" spans="1:3" x14ac:dyDescent="0.35">
      <c r="A129" s="171">
        <v>46045</v>
      </c>
      <c r="B129">
        <v>187.61</v>
      </c>
      <c r="C129">
        <v>28490000</v>
      </c>
    </row>
    <row r="130" spans="1:3" x14ac:dyDescent="0.35">
      <c r="A130" s="171">
        <v>46044</v>
      </c>
      <c r="B130">
        <v>189.1</v>
      </c>
      <c r="C130">
        <v>35680000</v>
      </c>
    </row>
    <row r="131" spans="1:3" x14ac:dyDescent="0.35">
      <c r="A131" s="171">
        <v>46043</v>
      </c>
      <c r="B131">
        <v>184.41</v>
      </c>
      <c r="C131">
        <v>35040000</v>
      </c>
    </row>
    <row r="132" spans="1:3" x14ac:dyDescent="0.35">
      <c r="A132" s="171">
        <v>46042</v>
      </c>
      <c r="B132">
        <v>183.56</v>
      </c>
      <c r="C132">
        <v>20090000</v>
      </c>
    </row>
    <row r="133" spans="1:3" x14ac:dyDescent="0.35">
      <c r="A133" s="171">
        <v>46041</v>
      </c>
      <c r="B133">
        <v>188.27</v>
      </c>
      <c r="C133">
        <v>19710000</v>
      </c>
    </row>
    <row r="134" spans="1:3" x14ac:dyDescent="0.35">
      <c r="A134" s="171">
        <v>46038</v>
      </c>
      <c r="B134">
        <v>188.21</v>
      </c>
      <c r="C134">
        <v>26030000</v>
      </c>
    </row>
    <row r="135" spans="1:3" x14ac:dyDescent="0.35">
      <c r="A135" s="171">
        <v>46036</v>
      </c>
      <c r="B135">
        <v>189.25</v>
      </c>
      <c r="C135">
        <v>55910000</v>
      </c>
    </row>
    <row r="136" spans="1:3" x14ac:dyDescent="0.35">
      <c r="A136" s="171">
        <v>46035</v>
      </c>
      <c r="B136">
        <v>182.57</v>
      </c>
      <c r="C136">
        <v>19160000</v>
      </c>
    </row>
    <row r="137" spans="1:3" x14ac:dyDescent="0.35">
      <c r="A137" s="171">
        <v>46034</v>
      </c>
      <c r="B137">
        <v>183.24</v>
      </c>
      <c r="C137">
        <v>25780000</v>
      </c>
    </row>
    <row r="138" spans="1:3" x14ac:dyDescent="0.35">
      <c r="A138" s="171">
        <v>46031</v>
      </c>
      <c r="B138">
        <v>178.4</v>
      </c>
      <c r="C138">
        <v>25320000</v>
      </c>
    </row>
    <row r="139" spans="1:3" x14ac:dyDescent="0.35">
      <c r="A139" s="171">
        <v>46030</v>
      </c>
      <c r="B139">
        <v>180.12</v>
      </c>
      <c r="C139">
        <v>38450000</v>
      </c>
    </row>
    <row r="140" spans="1:3" x14ac:dyDescent="0.35">
      <c r="A140" s="171">
        <v>46029</v>
      </c>
      <c r="B140">
        <v>183.8</v>
      </c>
      <c r="C140">
        <v>18230000</v>
      </c>
    </row>
    <row r="141" spans="1:3" x14ac:dyDescent="0.35">
      <c r="A141" s="171">
        <v>46028</v>
      </c>
      <c r="B141">
        <v>186.2</v>
      </c>
      <c r="C141">
        <v>28510000</v>
      </c>
    </row>
    <row r="142" spans="1:3" x14ac:dyDescent="0.35">
      <c r="A142" s="171">
        <v>46027</v>
      </c>
      <c r="B142">
        <v>185.72</v>
      </c>
      <c r="C142">
        <v>30650000</v>
      </c>
    </row>
    <row r="143" spans="1:3" x14ac:dyDescent="0.35">
      <c r="A143" s="171">
        <v>46024</v>
      </c>
      <c r="B143">
        <v>182.88</v>
      </c>
      <c r="C143">
        <v>23010000</v>
      </c>
    </row>
    <row r="144" spans="1:3" x14ac:dyDescent="0.35">
      <c r="A144" s="171">
        <v>46023</v>
      </c>
      <c r="B144">
        <v>181.89</v>
      </c>
      <c r="C144">
        <v>21510000</v>
      </c>
    </row>
    <row r="145" spans="1:3" x14ac:dyDescent="0.35">
      <c r="A145" s="171">
        <v>46022</v>
      </c>
      <c r="B145">
        <v>180.08</v>
      </c>
      <c r="C145">
        <v>50900000</v>
      </c>
    </row>
    <row r="146" spans="1:3" x14ac:dyDescent="0.35">
      <c r="A146" s="171">
        <v>46021</v>
      </c>
      <c r="B146">
        <v>175.8</v>
      </c>
      <c r="C146">
        <v>33740000</v>
      </c>
    </row>
    <row r="147" spans="1:3" x14ac:dyDescent="0.35">
      <c r="A147" s="171">
        <v>46020</v>
      </c>
      <c r="B147">
        <v>172.3</v>
      </c>
      <c r="C147">
        <v>48000000</v>
      </c>
    </row>
    <row r="148" spans="1:3" x14ac:dyDescent="0.35">
      <c r="A148" s="171">
        <v>46017</v>
      </c>
      <c r="B148">
        <v>169.12</v>
      </c>
      <c r="C148">
        <v>16900000</v>
      </c>
    </row>
    <row r="149" spans="1:3" x14ac:dyDescent="0.35">
      <c r="A149" s="171">
        <v>46015</v>
      </c>
      <c r="B149">
        <v>170.07</v>
      </c>
      <c r="C149">
        <v>17430000</v>
      </c>
    </row>
    <row r="150" spans="1:3" x14ac:dyDescent="0.35">
      <c r="A150" s="171">
        <v>46014</v>
      </c>
      <c r="B150">
        <v>170.9</v>
      </c>
      <c r="C150">
        <v>17350000</v>
      </c>
    </row>
    <row r="151" spans="1:3" x14ac:dyDescent="0.35">
      <c r="A151" s="171">
        <v>46013</v>
      </c>
      <c r="B151">
        <v>169.22</v>
      </c>
      <c r="C151">
        <v>23730000</v>
      </c>
    </row>
    <row r="152" spans="1:3" x14ac:dyDescent="0.35">
      <c r="A152" s="171">
        <v>46010</v>
      </c>
      <c r="B152">
        <v>168.69</v>
      </c>
      <c r="C152">
        <v>28450000</v>
      </c>
    </row>
    <row r="153" spans="1:3" x14ac:dyDescent="0.35">
      <c r="A153" s="171">
        <v>46009</v>
      </c>
      <c r="B153">
        <v>168.12</v>
      </c>
      <c r="C153">
        <v>13150000</v>
      </c>
    </row>
    <row r="154" spans="1:3" x14ac:dyDescent="0.35">
      <c r="A154" s="171">
        <v>46008</v>
      </c>
      <c r="B154">
        <v>170.34</v>
      </c>
      <c r="C154">
        <v>11620000</v>
      </c>
    </row>
    <row r="155" spans="1:3" x14ac:dyDescent="0.35">
      <c r="A155" s="171">
        <v>46007</v>
      </c>
      <c r="B155">
        <v>169.83</v>
      </c>
      <c r="C155">
        <v>22980000</v>
      </c>
    </row>
    <row r="156" spans="1:3" x14ac:dyDescent="0.35">
      <c r="A156" s="171">
        <v>46006</v>
      </c>
      <c r="B156">
        <v>172.87</v>
      </c>
      <c r="C156">
        <v>23250000</v>
      </c>
    </row>
    <row r="157" spans="1:3" x14ac:dyDescent="0.35">
      <c r="A157" s="171">
        <v>46003</v>
      </c>
      <c r="B157">
        <v>171.89</v>
      </c>
      <c r="C157">
        <v>41130000</v>
      </c>
    </row>
    <row r="158" spans="1:3" x14ac:dyDescent="0.35">
      <c r="A158" s="171">
        <v>46002</v>
      </c>
      <c r="B158">
        <v>166.38</v>
      </c>
      <c r="C158">
        <v>32600000</v>
      </c>
    </row>
    <row r="159" spans="1:3" x14ac:dyDescent="0.35">
      <c r="A159" s="171">
        <v>46001</v>
      </c>
      <c r="B159">
        <v>162.22999999999999</v>
      </c>
      <c r="C159">
        <v>22540000</v>
      </c>
    </row>
    <row r="160" spans="1:3" x14ac:dyDescent="0.35">
      <c r="A160" s="171">
        <v>46000</v>
      </c>
      <c r="B160">
        <v>160.66999999999999</v>
      </c>
      <c r="C160">
        <v>25770000</v>
      </c>
    </row>
    <row r="161" spans="1:3" x14ac:dyDescent="0.35">
      <c r="A161" s="171">
        <v>45999</v>
      </c>
      <c r="B161">
        <v>163.47</v>
      </c>
      <c r="C161">
        <v>15770000</v>
      </c>
    </row>
    <row r="162" spans="1:3" x14ac:dyDescent="0.35">
      <c r="A162" s="171">
        <v>45996</v>
      </c>
      <c r="B162">
        <v>167.11</v>
      </c>
      <c r="C162">
        <v>33500000</v>
      </c>
    </row>
    <row r="163" spans="1:3" x14ac:dyDescent="0.35">
      <c r="A163" s="171">
        <v>45995</v>
      </c>
      <c r="B163">
        <v>166.77</v>
      </c>
      <c r="C163">
        <v>11420000</v>
      </c>
    </row>
    <row r="164" spans="1:3" x14ac:dyDescent="0.35">
      <c r="A164" s="171">
        <v>45994</v>
      </c>
      <c r="B164">
        <v>166.92</v>
      </c>
      <c r="C164">
        <v>18870000</v>
      </c>
    </row>
    <row r="165" spans="1:3" x14ac:dyDescent="0.35">
      <c r="A165" s="171">
        <v>45993</v>
      </c>
      <c r="B165">
        <v>167.78</v>
      </c>
      <c r="C165">
        <v>15360000</v>
      </c>
    </row>
    <row r="166" spans="1:3" x14ac:dyDescent="0.35">
      <c r="A166" s="171">
        <v>45992</v>
      </c>
      <c r="B166">
        <v>168.63</v>
      </c>
      <c r="C166">
        <v>11760000</v>
      </c>
    </row>
    <row r="167" spans="1:3" x14ac:dyDescent="0.35">
      <c r="A167" s="171">
        <v>45989</v>
      </c>
      <c r="B167">
        <v>167.96</v>
      </c>
      <c r="C167">
        <v>11980000</v>
      </c>
    </row>
    <row r="168" spans="1:3" x14ac:dyDescent="0.35">
      <c r="A168" s="171">
        <v>45988</v>
      </c>
      <c r="B168">
        <v>168.13</v>
      </c>
      <c r="C168">
        <v>17550000</v>
      </c>
    </row>
    <row r="169" spans="1:3" x14ac:dyDescent="0.35">
      <c r="A169" s="171">
        <v>45987</v>
      </c>
      <c r="B169">
        <v>169.67</v>
      </c>
      <c r="C169">
        <v>15040000</v>
      </c>
    </row>
    <row r="170" spans="1:3" x14ac:dyDescent="0.35">
      <c r="A170" s="171">
        <v>45986</v>
      </c>
      <c r="B170">
        <v>166.33</v>
      </c>
      <c r="C170">
        <v>19980000</v>
      </c>
    </row>
    <row r="171" spans="1:3" x14ac:dyDescent="0.35">
      <c r="A171" s="171">
        <v>45985</v>
      </c>
      <c r="B171">
        <v>165.36</v>
      </c>
      <c r="C171">
        <v>31200000</v>
      </c>
    </row>
    <row r="172" spans="1:3" x14ac:dyDescent="0.35">
      <c r="A172" s="171">
        <v>45982</v>
      </c>
      <c r="B172">
        <v>168</v>
      </c>
      <c r="C172">
        <v>28410000</v>
      </c>
    </row>
    <row r="173" spans="1:3" x14ac:dyDescent="0.35">
      <c r="A173" s="171">
        <v>45981</v>
      </c>
      <c r="B173">
        <v>172.46</v>
      </c>
      <c r="C173">
        <v>15970000</v>
      </c>
    </row>
    <row r="174" spans="1:3" x14ac:dyDescent="0.35">
      <c r="A174" s="171">
        <v>45980</v>
      </c>
      <c r="B174">
        <v>173.21</v>
      </c>
      <c r="C174">
        <v>19620000</v>
      </c>
    </row>
    <row r="175" spans="1:3" x14ac:dyDescent="0.35">
      <c r="A175" s="171">
        <v>45979</v>
      </c>
      <c r="B175">
        <v>172.45</v>
      </c>
      <c r="C175">
        <v>34280000</v>
      </c>
    </row>
    <row r="176" spans="1:3" x14ac:dyDescent="0.35">
      <c r="A176" s="171">
        <v>45978</v>
      </c>
      <c r="B176">
        <v>173.17</v>
      </c>
      <c r="C176">
        <v>28200000</v>
      </c>
    </row>
    <row r="177" spans="1:3" x14ac:dyDescent="0.35">
      <c r="A177" s="171">
        <v>45975</v>
      </c>
      <c r="B177">
        <v>174.26</v>
      </c>
      <c r="C177">
        <v>38350000</v>
      </c>
    </row>
    <row r="178" spans="1:3" x14ac:dyDescent="0.35">
      <c r="A178" s="171">
        <v>45974</v>
      </c>
      <c r="B178">
        <v>176.65</v>
      </c>
      <c r="C178">
        <v>82080000</v>
      </c>
    </row>
    <row r="179" spans="1:3" x14ac:dyDescent="0.35">
      <c r="A179" s="171">
        <v>45973</v>
      </c>
      <c r="B179">
        <v>178.61</v>
      </c>
      <c r="C179">
        <v>19040000</v>
      </c>
    </row>
    <row r="180" spans="1:3" x14ac:dyDescent="0.35">
      <c r="A180" s="171">
        <v>45972</v>
      </c>
      <c r="B180">
        <v>181.04</v>
      </c>
      <c r="C180">
        <v>14110000</v>
      </c>
    </row>
    <row r="181" spans="1:3" x14ac:dyDescent="0.35">
      <c r="A181" s="171">
        <v>45971</v>
      </c>
      <c r="B181">
        <v>181.48</v>
      </c>
      <c r="C181">
        <v>18380000</v>
      </c>
    </row>
    <row r="182" spans="1:3" x14ac:dyDescent="0.35">
      <c r="A182" s="171">
        <v>45968</v>
      </c>
      <c r="B182">
        <v>181.37</v>
      </c>
      <c r="C182">
        <v>19170000</v>
      </c>
    </row>
    <row r="183" spans="1:3" x14ac:dyDescent="0.35">
      <c r="A183" s="171">
        <v>45967</v>
      </c>
      <c r="B183">
        <v>177.27</v>
      </c>
      <c r="C183">
        <v>23660000</v>
      </c>
    </row>
    <row r="184" spans="1:3" x14ac:dyDescent="0.35">
      <c r="A184" s="171">
        <v>45965</v>
      </c>
      <c r="B184">
        <v>179.29</v>
      </c>
      <c r="C184">
        <v>18750000</v>
      </c>
    </row>
    <row r="185" spans="1:3" x14ac:dyDescent="0.35">
      <c r="A185" s="171">
        <v>45964</v>
      </c>
      <c r="B185">
        <v>182.67</v>
      </c>
      <c r="C185">
        <v>16649999.999999998</v>
      </c>
    </row>
    <row r="186" spans="1:3" x14ac:dyDescent="0.35">
      <c r="A186" s="171">
        <v>45961</v>
      </c>
      <c r="B186">
        <v>182.84</v>
      </c>
      <c r="C186">
        <v>16040000</v>
      </c>
    </row>
    <row r="187" spans="1:3" x14ac:dyDescent="0.35">
      <c r="A187" s="171">
        <v>45960</v>
      </c>
      <c r="B187">
        <v>184.35</v>
      </c>
      <c r="C187">
        <v>24270000</v>
      </c>
    </row>
    <row r="188" spans="1:3" x14ac:dyDescent="0.35">
      <c r="A188" s="171">
        <v>45959</v>
      </c>
      <c r="B188">
        <v>185.19</v>
      </c>
      <c r="C188">
        <v>51610000</v>
      </c>
    </row>
    <row r="189" spans="1:3" x14ac:dyDescent="0.35">
      <c r="A189" s="171">
        <v>45958</v>
      </c>
      <c r="B189">
        <v>181.81</v>
      </c>
      <c r="C189">
        <v>59510000</v>
      </c>
    </row>
    <row r="190" spans="1:3" x14ac:dyDescent="0.35">
      <c r="A190" s="171">
        <v>45957</v>
      </c>
      <c r="B190">
        <v>176.66</v>
      </c>
      <c r="C190">
        <v>23830000</v>
      </c>
    </row>
    <row r="191" spans="1:3" x14ac:dyDescent="0.35">
      <c r="A191" s="171">
        <v>45954</v>
      </c>
      <c r="B191">
        <v>174.44</v>
      </c>
      <c r="C191">
        <v>25230000</v>
      </c>
    </row>
    <row r="192" spans="1:3" x14ac:dyDescent="0.35">
      <c r="A192" s="171">
        <v>45953</v>
      </c>
      <c r="B192">
        <v>174.16</v>
      </c>
      <c r="C192">
        <v>31470000</v>
      </c>
    </row>
    <row r="193" spans="1:3" x14ac:dyDescent="0.35">
      <c r="A193" s="171">
        <v>45951</v>
      </c>
      <c r="B193">
        <v>172.78</v>
      </c>
      <c r="C193">
        <v>2470000</v>
      </c>
    </row>
    <row r="194" spans="1:3" x14ac:dyDescent="0.35">
      <c r="A194" s="171">
        <v>45950</v>
      </c>
      <c r="B194">
        <v>171.95</v>
      </c>
      <c r="C194">
        <v>18050000</v>
      </c>
    </row>
    <row r="195" spans="1:3" x14ac:dyDescent="0.35">
      <c r="A195" s="171">
        <v>45947</v>
      </c>
      <c r="B195">
        <v>172.22</v>
      </c>
      <c r="C195">
        <v>21660000</v>
      </c>
    </row>
    <row r="196" spans="1:3" x14ac:dyDescent="0.35">
      <c r="A196" s="171">
        <v>45946</v>
      </c>
      <c r="B196">
        <v>174</v>
      </c>
      <c r="C196">
        <v>12210000</v>
      </c>
    </row>
    <row r="197" spans="1:3" x14ac:dyDescent="0.35">
      <c r="A197" s="171">
        <v>45945</v>
      </c>
      <c r="B197">
        <v>173.24</v>
      </c>
      <c r="C197">
        <v>15030000</v>
      </c>
    </row>
    <row r="198" spans="1:3" x14ac:dyDescent="0.35">
      <c r="A198" s="171">
        <v>45944</v>
      </c>
      <c r="B198">
        <v>170.51</v>
      </c>
      <c r="C198">
        <v>22080000</v>
      </c>
    </row>
    <row r="199" spans="1:3" x14ac:dyDescent="0.35">
      <c r="A199" s="171">
        <v>45943</v>
      </c>
      <c r="B199">
        <v>173.03</v>
      </c>
      <c r="C199">
        <v>19390000</v>
      </c>
    </row>
    <row r="200" spans="1:3" x14ac:dyDescent="0.35">
      <c r="A200" s="171">
        <v>45940</v>
      </c>
      <c r="B200">
        <v>173.86</v>
      </c>
      <c r="C200">
        <v>18090000</v>
      </c>
    </row>
    <row r="201" spans="1:3" x14ac:dyDescent="0.35">
      <c r="A201" s="171">
        <v>45939</v>
      </c>
      <c r="B201">
        <v>176.42</v>
      </c>
      <c r="C201">
        <v>68500000</v>
      </c>
    </row>
    <row r="202" spans="1:3" x14ac:dyDescent="0.35">
      <c r="A202" s="171">
        <v>45938</v>
      </c>
      <c r="B202">
        <v>171.94</v>
      </c>
      <c r="C202">
        <v>22660000</v>
      </c>
    </row>
    <row r="203" spans="1:3" x14ac:dyDescent="0.35">
      <c r="A203" s="171">
        <v>45937</v>
      </c>
      <c r="B203">
        <v>171.43</v>
      </c>
      <c r="C203">
        <v>19190000</v>
      </c>
    </row>
    <row r="204" spans="1:3" x14ac:dyDescent="0.35">
      <c r="A204" s="171">
        <v>45936</v>
      </c>
      <c r="B204">
        <v>170.06</v>
      </c>
      <c r="C204">
        <v>21470000</v>
      </c>
    </row>
    <row r="205" spans="1:3" x14ac:dyDescent="0.35">
      <c r="A205" s="171">
        <v>45933</v>
      </c>
      <c r="B205">
        <v>173.21</v>
      </c>
      <c r="C205">
        <v>55170000</v>
      </c>
    </row>
    <row r="206" spans="1:3" x14ac:dyDescent="0.35">
      <c r="A206" s="171">
        <v>45931</v>
      </c>
      <c r="B206">
        <v>167.51</v>
      </c>
      <c r="C206">
        <v>17540000</v>
      </c>
    </row>
    <row r="207" spans="1:3" x14ac:dyDescent="0.35">
      <c r="A207" s="171">
        <v>45930</v>
      </c>
      <c r="B207">
        <v>168.77</v>
      </c>
      <c r="C207">
        <v>24550000</v>
      </c>
    </row>
    <row r="208" spans="1:3" x14ac:dyDescent="0.35">
      <c r="A208" s="171">
        <v>45929</v>
      </c>
      <c r="B208">
        <v>168.98</v>
      </c>
      <c r="C208">
        <v>16830000</v>
      </c>
    </row>
    <row r="209" spans="1:3" x14ac:dyDescent="0.35">
      <c r="A209" s="171">
        <v>45926</v>
      </c>
      <c r="B209">
        <v>167.4</v>
      </c>
      <c r="C209">
        <v>20160000</v>
      </c>
    </row>
    <row r="210" spans="1:3" x14ac:dyDescent="0.35">
      <c r="A210" s="171">
        <v>45925</v>
      </c>
      <c r="B210">
        <v>172.38</v>
      </c>
      <c r="C210">
        <v>17030000</v>
      </c>
    </row>
    <row r="211" spans="1:3" x14ac:dyDescent="0.35">
      <c r="A211" s="171">
        <v>45924</v>
      </c>
      <c r="B211">
        <v>172.66</v>
      </c>
      <c r="C211">
        <v>20170000</v>
      </c>
    </row>
    <row r="212" spans="1:3" x14ac:dyDescent="0.35">
      <c r="A212" s="171">
        <v>45923</v>
      </c>
      <c r="B212">
        <v>173.29</v>
      </c>
      <c r="C212">
        <v>24530000</v>
      </c>
    </row>
    <row r="213" spans="1:3" x14ac:dyDescent="0.35">
      <c r="A213" s="171">
        <v>45922</v>
      </c>
      <c r="B213">
        <v>171.39</v>
      </c>
      <c r="C213">
        <v>20970000</v>
      </c>
    </row>
    <row r="214" spans="1:3" x14ac:dyDescent="0.35">
      <c r="A214" s="171">
        <v>45919</v>
      </c>
      <c r="B214">
        <v>171.48</v>
      </c>
      <c r="C214">
        <v>25410000</v>
      </c>
    </row>
    <row r="215" spans="1:3" x14ac:dyDescent="0.35">
      <c r="A215" s="171">
        <v>45918</v>
      </c>
      <c r="B215">
        <v>172.03</v>
      </c>
      <c r="C215">
        <v>16410000</v>
      </c>
    </row>
    <row r="216" spans="1:3" x14ac:dyDescent="0.35">
      <c r="A216" s="171">
        <v>45917</v>
      </c>
      <c r="B216">
        <v>171.36</v>
      </c>
      <c r="C216">
        <v>21380000</v>
      </c>
    </row>
    <row r="217" spans="1:3" x14ac:dyDescent="0.35">
      <c r="A217" s="171">
        <v>45916</v>
      </c>
      <c r="B217">
        <v>172.02</v>
      </c>
      <c r="C217">
        <v>26630000</v>
      </c>
    </row>
    <row r="218" spans="1:3" x14ac:dyDescent="0.35">
      <c r="A218" s="171">
        <v>45915</v>
      </c>
      <c r="B218">
        <v>169.23</v>
      </c>
      <c r="C218">
        <v>10610000</v>
      </c>
    </row>
    <row r="219" spans="1:3" x14ac:dyDescent="0.35">
      <c r="A219" s="171">
        <v>45912</v>
      </c>
      <c r="B219">
        <v>169.78</v>
      </c>
      <c r="C219">
        <v>12120000</v>
      </c>
    </row>
    <row r="220" spans="1:3" x14ac:dyDescent="0.35">
      <c r="A220" s="171">
        <v>45911</v>
      </c>
      <c r="B220">
        <v>169.41</v>
      </c>
      <c r="C220">
        <v>13830000</v>
      </c>
    </row>
    <row r="221" spans="1:3" x14ac:dyDescent="0.35">
      <c r="A221" s="171">
        <v>45910</v>
      </c>
      <c r="B221">
        <v>169.43</v>
      </c>
      <c r="C221">
        <v>13130000</v>
      </c>
    </row>
    <row r="222" spans="1:3" x14ac:dyDescent="0.35">
      <c r="A222" s="171">
        <v>45909</v>
      </c>
      <c r="B222">
        <v>169.15</v>
      </c>
      <c r="C222">
        <v>14030000</v>
      </c>
    </row>
    <row r="223" spans="1:3" x14ac:dyDescent="0.35">
      <c r="A223" s="171">
        <v>45908</v>
      </c>
      <c r="B223">
        <v>168.82</v>
      </c>
      <c r="C223">
        <v>36400000</v>
      </c>
    </row>
    <row r="224" spans="1:3" x14ac:dyDescent="0.35">
      <c r="A224" s="171">
        <v>45905</v>
      </c>
      <c r="B224">
        <v>167.68</v>
      </c>
      <c r="C224">
        <v>16800000</v>
      </c>
    </row>
    <row r="225" spans="1:3" x14ac:dyDescent="0.35">
      <c r="A225" s="171">
        <v>45904</v>
      </c>
      <c r="B225">
        <v>166.81</v>
      </c>
      <c r="C225">
        <v>26320000</v>
      </c>
    </row>
    <row r="226" spans="1:3" x14ac:dyDescent="0.35">
      <c r="A226" s="171">
        <v>45903</v>
      </c>
      <c r="B226">
        <v>167.85</v>
      </c>
      <c r="C226">
        <v>82350000</v>
      </c>
    </row>
    <row r="227" spans="1:3" x14ac:dyDescent="0.35">
      <c r="A227" s="171">
        <v>45902</v>
      </c>
      <c r="B227">
        <v>158.38999999999999</v>
      </c>
      <c r="C227">
        <v>21200000</v>
      </c>
    </row>
    <row r="228" spans="1:3" x14ac:dyDescent="0.35">
      <c r="A228" s="171">
        <v>45901</v>
      </c>
      <c r="B228">
        <v>156.16999999999999</v>
      </c>
      <c r="C228">
        <v>10800000</v>
      </c>
    </row>
    <row r="229" spans="1:3" x14ac:dyDescent="0.35">
      <c r="A229" s="171">
        <v>45898</v>
      </c>
      <c r="B229">
        <v>154.47999999999999</v>
      </c>
      <c r="C229">
        <v>16970000</v>
      </c>
    </row>
    <row r="230" spans="1:3" x14ac:dyDescent="0.35">
      <c r="A230" s="171">
        <v>45897</v>
      </c>
      <c r="B230">
        <v>153.63</v>
      </c>
      <c r="C230">
        <v>22270000</v>
      </c>
    </row>
    <row r="231" spans="1:3" x14ac:dyDescent="0.35">
      <c r="A231" s="171">
        <v>45895</v>
      </c>
      <c r="B231">
        <v>155.03</v>
      </c>
      <c r="C231">
        <v>19620000</v>
      </c>
    </row>
    <row r="232" spans="1:3" x14ac:dyDescent="0.35">
      <c r="A232" s="171">
        <v>45894</v>
      </c>
      <c r="B232">
        <v>159.63</v>
      </c>
      <c r="C232">
        <v>16379999.999999998</v>
      </c>
    </row>
    <row r="233" spans="1:3" x14ac:dyDescent="0.35">
      <c r="A233" s="171">
        <v>45891</v>
      </c>
      <c r="B233">
        <v>158.55000000000001</v>
      </c>
      <c r="C233">
        <v>16059999.999999998</v>
      </c>
    </row>
    <row r="234" spans="1:3" x14ac:dyDescent="0.35">
      <c r="A234" s="171">
        <v>45890</v>
      </c>
      <c r="B234">
        <v>161.51</v>
      </c>
      <c r="C234">
        <v>17280000</v>
      </c>
    </row>
    <row r="235" spans="1:3" x14ac:dyDescent="0.35">
      <c r="A235" s="171">
        <v>45889</v>
      </c>
      <c r="B235">
        <v>161.91999999999999</v>
      </c>
      <c r="C235">
        <v>28520000</v>
      </c>
    </row>
    <row r="236" spans="1:3" x14ac:dyDescent="0.35">
      <c r="A236" s="171">
        <v>45888</v>
      </c>
      <c r="B236">
        <v>159.22999999999999</v>
      </c>
      <c r="C236">
        <v>21220000</v>
      </c>
    </row>
    <row r="237" spans="1:3" x14ac:dyDescent="0.35">
      <c r="A237" s="171">
        <v>45887</v>
      </c>
      <c r="B237">
        <v>157.96</v>
      </c>
      <c r="C237">
        <v>61020000</v>
      </c>
    </row>
    <row r="238" spans="1:3" x14ac:dyDescent="0.35">
      <c r="A238" s="171">
        <v>45883</v>
      </c>
      <c r="B238">
        <v>155.30000000000001</v>
      </c>
      <c r="C238">
        <v>47260000</v>
      </c>
    </row>
    <row r="239" spans="1:3" x14ac:dyDescent="0.35">
      <c r="A239" s="171">
        <v>45882</v>
      </c>
      <c r="B239">
        <v>160.18</v>
      </c>
      <c r="C239">
        <v>18080000</v>
      </c>
    </row>
    <row r="240" spans="1:3" x14ac:dyDescent="0.35">
      <c r="A240" s="171">
        <v>45881</v>
      </c>
      <c r="B240">
        <v>160.16</v>
      </c>
      <c r="C240">
        <v>20060000</v>
      </c>
    </row>
    <row r="241" spans="1:3" x14ac:dyDescent="0.35">
      <c r="A241" s="171">
        <v>45880</v>
      </c>
      <c r="B241">
        <v>158.52000000000001</v>
      </c>
      <c r="C241">
        <v>14330000</v>
      </c>
    </row>
    <row r="242" spans="1:3" x14ac:dyDescent="0.35">
      <c r="A242" s="171">
        <v>45877</v>
      </c>
      <c r="B242">
        <v>157.94999999999999</v>
      </c>
      <c r="C242">
        <v>11950000</v>
      </c>
    </row>
    <row r="243" spans="1:3" x14ac:dyDescent="0.35">
      <c r="A243" s="171">
        <v>45876</v>
      </c>
      <c r="B243">
        <v>159.66999999999999</v>
      </c>
      <c r="C243">
        <v>23160000</v>
      </c>
    </row>
    <row r="244" spans="1:3" x14ac:dyDescent="0.35">
      <c r="A244" s="171">
        <v>45875</v>
      </c>
      <c r="B244">
        <v>158.66</v>
      </c>
      <c r="C244">
        <v>13440000</v>
      </c>
    </row>
    <row r="245" spans="1:3" x14ac:dyDescent="0.35">
      <c r="A245" s="171">
        <v>45874</v>
      </c>
      <c r="B245">
        <v>159.62</v>
      </c>
      <c r="C245">
        <v>14440000</v>
      </c>
    </row>
    <row r="246" spans="1:3" x14ac:dyDescent="0.35">
      <c r="A246" s="171">
        <v>45873</v>
      </c>
      <c r="B246">
        <v>159.56</v>
      </c>
      <c r="C246">
        <v>30060000</v>
      </c>
    </row>
    <row r="247" spans="1:3" x14ac:dyDescent="0.35">
      <c r="A247" s="171">
        <v>45870</v>
      </c>
      <c r="B247">
        <v>153.01</v>
      </c>
      <c r="C247">
        <v>23930000</v>
      </c>
    </row>
    <row r="248" spans="1:3" x14ac:dyDescent="0.35">
      <c r="A248" s="171">
        <v>45869</v>
      </c>
      <c r="B248">
        <v>157.94</v>
      </c>
      <c r="C248">
        <v>26210000</v>
      </c>
    </row>
    <row r="249" spans="1:3" x14ac:dyDescent="0.35">
      <c r="A249" s="171">
        <v>45868</v>
      </c>
      <c r="B249">
        <v>161.36000000000001</v>
      </c>
      <c r="C249">
        <v>16079999.999999998</v>
      </c>
    </row>
    <row r="250" spans="1:3" x14ac:dyDescent="0.35">
      <c r="A250" s="171">
        <v>45867</v>
      </c>
      <c r="B250">
        <v>161.69</v>
      </c>
      <c r="C250">
        <v>15260000</v>
      </c>
    </row>
    <row r="251" spans="1:3" x14ac:dyDescent="0.35">
      <c r="A251" s="171">
        <v>45866</v>
      </c>
      <c r="B251">
        <v>159.68</v>
      </c>
      <c r="C251">
        <v>19300000</v>
      </c>
    </row>
    <row r="252" spans="1:3" x14ac:dyDescent="0.35">
      <c r="A252" s="171">
        <v>45863</v>
      </c>
      <c r="B252">
        <v>161.43</v>
      </c>
      <c r="C252">
        <v>12440000</v>
      </c>
    </row>
    <row r="253" spans="1:3" x14ac:dyDescent="0.35">
      <c r="A253" s="171">
        <v>45862</v>
      </c>
      <c r="B253">
        <v>163.47999999999999</v>
      </c>
      <c r="C253">
        <v>14380000</v>
      </c>
    </row>
    <row r="254" spans="1:3" x14ac:dyDescent="0.35">
      <c r="A254" s="171">
        <v>45861</v>
      </c>
      <c r="B254">
        <v>162.77000000000001</v>
      </c>
      <c r="C254">
        <v>14290000</v>
      </c>
    </row>
    <row r="255" spans="1:3" x14ac:dyDescent="0.35">
      <c r="A255" s="171">
        <v>45860</v>
      </c>
      <c r="B255">
        <v>163.04</v>
      </c>
      <c r="C255">
        <v>13620000</v>
      </c>
    </row>
    <row r="256" spans="1:3" x14ac:dyDescent="0.35">
      <c r="A256" s="171">
        <v>45859</v>
      </c>
      <c r="B256">
        <v>163.02000000000001</v>
      </c>
      <c r="C256">
        <v>29810000</v>
      </c>
    </row>
    <row r="257" spans="1:3" x14ac:dyDescent="0.35">
      <c r="A257" s="171">
        <v>45856</v>
      </c>
      <c r="B257">
        <v>162.37</v>
      </c>
      <c r="C257">
        <v>30730000</v>
      </c>
    </row>
    <row r="258" spans="1:3" x14ac:dyDescent="0.35">
      <c r="A258" s="171">
        <v>45855</v>
      </c>
      <c r="B258">
        <v>159.9</v>
      </c>
      <c r="C258">
        <v>21730000</v>
      </c>
    </row>
    <row r="259" spans="1:3" x14ac:dyDescent="0.35">
      <c r="A259" s="171">
        <v>45854</v>
      </c>
      <c r="B259">
        <v>157.33000000000001</v>
      </c>
      <c r="C259">
        <v>14590000</v>
      </c>
    </row>
    <row r="260" spans="1:3" x14ac:dyDescent="0.35">
      <c r="A260" s="171">
        <v>45853</v>
      </c>
      <c r="B260">
        <v>159</v>
      </c>
      <c r="C260">
        <v>17990000</v>
      </c>
    </row>
    <row r="261" spans="1:3" x14ac:dyDescent="0.35">
      <c r="A261" s="171">
        <v>45852</v>
      </c>
      <c r="B261">
        <v>160.44</v>
      </c>
      <c r="C261">
        <v>15150000</v>
      </c>
    </row>
    <row r="262" spans="1:3" x14ac:dyDescent="0.35">
      <c r="A262" s="171">
        <v>45849</v>
      </c>
      <c r="B262">
        <v>159.84</v>
      </c>
      <c r="C262">
        <v>20690000</v>
      </c>
    </row>
    <row r="263" spans="1:3" x14ac:dyDescent="0.35">
      <c r="A263" s="171">
        <v>45848</v>
      </c>
      <c r="B263">
        <v>160.66</v>
      </c>
      <c r="C263">
        <v>17570000</v>
      </c>
    </row>
    <row r="264" spans="1:3" x14ac:dyDescent="0.35">
      <c r="A264" s="171">
        <v>45847</v>
      </c>
      <c r="B264">
        <v>159</v>
      </c>
      <c r="C264">
        <v>29840000</v>
      </c>
    </row>
    <row r="265" spans="1:3" x14ac:dyDescent="0.35">
      <c r="A265" s="171">
        <v>45846</v>
      </c>
      <c r="B265">
        <v>161.97</v>
      </c>
      <c r="C265">
        <v>11400000</v>
      </c>
    </row>
    <row r="266" spans="1:3" x14ac:dyDescent="0.35">
      <c r="A266" s="171">
        <v>45845</v>
      </c>
      <c r="B266">
        <v>162.4</v>
      </c>
      <c r="C266">
        <v>17470000</v>
      </c>
    </row>
    <row r="267" spans="1:3" x14ac:dyDescent="0.35">
      <c r="A267" s="171">
        <v>45842</v>
      </c>
      <c r="B267">
        <v>163.01</v>
      </c>
      <c r="C267">
        <v>22940000</v>
      </c>
    </row>
    <row r="268" spans="1:3" x14ac:dyDescent="0.35">
      <c r="A268" s="171">
        <v>45841</v>
      </c>
      <c r="B268">
        <v>165.91</v>
      </c>
      <c r="C268">
        <v>60570000</v>
      </c>
    </row>
    <row r="269" spans="1:3" x14ac:dyDescent="0.35">
      <c r="A269" s="171">
        <v>45840</v>
      </c>
      <c r="B269">
        <v>165.88</v>
      </c>
      <c r="C269">
        <v>63320000</v>
      </c>
    </row>
    <row r="270" spans="1:3" x14ac:dyDescent="0.35">
      <c r="A270" s="171">
        <v>45839</v>
      </c>
      <c r="B270">
        <v>160.06</v>
      </c>
      <c r="C270">
        <v>17820000</v>
      </c>
    </row>
    <row r="271" spans="1:3" x14ac:dyDescent="0.35">
      <c r="A271" s="171">
        <v>45838</v>
      </c>
      <c r="B271">
        <v>159.76</v>
      </c>
      <c r="C271">
        <v>15840000</v>
      </c>
    </row>
    <row r="272" spans="1:3" x14ac:dyDescent="0.35">
      <c r="A272" s="171">
        <v>45835</v>
      </c>
      <c r="B272">
        <v>161.44999999999999</v>
      </c>
      <c r="C272">
        <v>31990000</v>
      </c>
    </row>
    <row r="273" spans="1:3" x14ac:dyDescent="0.35">
      <c r="A273" s="171">
        <v>45834</v>
      </c>
      <c r="B273">
        <v>160.54</v>
      </c>
      <c r="C273">
        <v>40650000</v>
      </c>
    </row>
    <row r="274" spans="1:3" x14ac:dyDescent="0.35">
      <c r="A274" s="171">
        <v>45833</v>
      </c>
      <c r="B274">
        <v>156.38999999999999</v>
      </c>
      <c r="C274">
        <v>18240000</v>
      </c>
    </row>
    <row r="275" spans="1:3" x14ac:dyDescent="0.35">
      <c r="A275" s="171">
        <v>45832</v>
      </c>
      <c r="B275">
        <v>154.79</v>
      </c>
      <c r="C275">
        <v>25400000</v>
      </c>
    </row>
    <row r="276" spans="1:3" x14ac:dyDescent="0.35">
      <c r="A276" s="171">
        <v>45831</v>
      </c>
      <c r="B276">
        <v>152.43</v>
      </c>
      <c r="C276">
        <v>17100000</v>
      </c>
    </row>
    <row r="277" spans="1:3" x14ac:dyDescent="0.35">
      <c r="A277" s="171">
        <v>45828</v>
      </c>
      <c r="B277">
        <v>151.97</v>
      </c>
      <c r="C277">
        <v>29940000</v>
      </c>
    </row>
    <row r="278" spans="1:3" x14ac:dyDescent="0.35">
      <c r="A278" s="171">
        <v>45827</v>
      </c>
      <c r="B278">
        <v>151</v>
      </c>
      <c r="C278">
        <v>20150000</v>
      </c>
    </row>
    <row r="279" spans="1:3" x14ac:dyDescent="0.35">
      <c r="A279" s="171">
        <v>45826</v>
      </c>
      <c r="B279">
        <v>152.11000000000001</v>
      </c>
      <c r="C279">
        <v>14860000</v>
      </c>
    </row>
    <row r="280" spans="1:3" x14ac:dyDescent="0.35">
      <c r="A280" s="171">
        <v>45825</v>
      </c>
      <c r="B280">
        <v>152.6</v>
      </c>
      <c r="C280">
        <v>16739999.999999998</v>
      </c>
    </row>
    <row r="281" spans="1:3" x14ac:dyDescent="0.35">
      <c r="A281" s="171">
        <v>45824</v>
      </c>
      <c r="B281">
        <v>154.16999999999999</v>
      </c>
      <c r="C281">
        <v>16190000.000000002</v>
      </c>
    </row>
    <row r="282" spans="1:3" x14ac:dyDescent="0.35">
      <c r="A282" s="171">
        <v>45821</v>
      </c>
      <c r="B282">
        <v>152.13</v>
      </c>
      <c r="C282">
        <v>24280000</v>
      </c>
    </row>
    <row r="283" spans="1:3" x14ac:dyDescent="0.35">
      <c r="A283" s="171">
        <v>45820</v>
      </c>
      <c r="B283">
        <v>152.88999999999999</v>
      </c>
      <c r="C283">
        <v>27850000</v>
      </c>
    </row>
    <row r="284" spans="1:3" x14ac:dyDescent="0.35">
      <c r="A284" s="171">
        <v>45819</v>
      </c>
      <c r="B284">
        <v>156.41</v>
      </c>
      <c r="C284">
        <v>17610000</v>
      </c>
    </row>
    <row r="285" spans="1:3" x14ac:dyDescent="0.35">
      <c r="A285" s="171">
        <v>45818</v>
      </c>
      <c r="B285">
        <v>155.68</v>
      </c>
      <c r="C285">
        <v>22760000</v>
      </c>
    </row>
    <row r="286" spans="1:3" x14ac:dyDescent="0.35">
      <c r="A286" s="171">
        <v>45817</v>
      </c>
      <c r="B286">
        <v>157.32</v>
      </c>
      <c r="C286">
        <v>15320000</v>
      </c>
    </row>
    <row r="287" spans="1:3" x14ac:dyDescent="0.35">
      <c r="A287" s="171">
        <v>45814</v>
      </c>
      <c r="B287">
        <v>157.49</v>
      </c>
      <c r="C287">
        <v>25800000</v>
      </c>
    </row>
    <row r="288" spans="1:3" x14ac:dyDescent="0.35">
      <c r="A288" s="171">
        <v>45813</v>
      </c>
      <c r="B288">
        <v>157.97</v>
      </c>
      <c r="C288">
        <v>23710000</v>
      </c>
    </row>
    <row r="289" spans="1:3" x14ac:dyDescent="0.35">
      <c r="A289" s="171">
        <v>45812</v>
      </c>
      <c r="B289">
        <v>158.18</v>
      </c>
      <c r="C289">
        <v>16660000</v>
      </c>
    </row>
    <row r="290" spans="1:3" x14ac:dyDescent="0.35">
      <c r="A290" s="171">
        <v>45811</v>
      </c>
      <c r="B290">
        <v>157.35</v>
      </c>
      <c r="C290">
        <v>28400000</v>
      </c>
    </row>
    <row r="291" spans="1:3" x14ac:dyDescent="0.35">
      <c r="A291" s="171">
        <v>45810</v>
      </c>
      <c r="B291">
        <v>159.04</v>
      </c>
      <c r="C291">
        <v>31370000</v>
      </c>
    </row>
    <row r="292" spans="1:3" x14ac:dyDescent="0.35">
      <c r="A292" s="171">
        <v>45807</v>
      </c>
      <c r="B292">
        <v>161.02000000000001</v>
      </c>
      <c r="C292">
        <v>32740000.000000004</v>
      </c>
    </row>
    <row r="293" spans="1:3" x14ac:dyDescent="0.35">
      <c r="A293" s="171">
        <v>45806</v>
      </c>
      <c r="B293">
        <v>163.12</v>
      </c>
      <c r="C293">
        <v>26460000</v>
      </c>
    </row>
    <row r="294" spans="1:3" x14ac:dyDescent="0.35">
      <c r="A294" s="171">
        <v>45805</v>
      </c>
      <c r="B294">
        <v>161.24</v>
      </c>
      <c r="C294">
        <v>13040000</v>
      </c>
    </row>
    <row r="295" spans="1:3" x14ac:dyDescent="0.35">
      <c r="A295" s="171">
        <v>45804</v>
      </c>
      <c r="B295">
        <v>161.66</v>
      </c>
      <c r="C295">
        <v>23300000</v>
      </c>
    </row>
    <row r="296" spans="1:3" x14ac:dyDescent="0.35">
      <c r="A296" s="171">
        <v>45803</v>
      </c>
      <c r="B296">
        <v>162.51</v>
      </c>
      <c r="C296">
        <v>25580000</v>
      </c>
    </row>
    <row r="297" spans="1:3" x14ac:dyDescent="0.35">
      <c r="A297" s="171">
        <v>45800</v>
      </c>
      <c r="B297">
        <v>162.97</v>
      </c>
      <c r="C297">
        <v>29480000</v>
      </c>
    </row>
    <row r="298" spans="1:3" x14ac:dyDescent="0.35">
      <c r="A298" s="171">
        <v>45799</v>
      </c>
      <c r="B298">
        <v>161.29</v>
      </c>
      <c r="C298">
        <v>60720000</v>
      </c>
    </row>
    <row r="299" spans="1:3" x14ac:dyDescent="0.35">
      <c r="A299" s="171">
        <v>45798</v>
      </c>
      <c r="B299">
        <v>161.63999999999999</v>
      </c>
      <c r="C299">
        <v>36040000</v>
      </c>
    </row>
    <row r="300" spans="1:3" x14ac:dyDescent="0.35">
      <c r="A300" s="171">
        <v>45797</v>
      </c>
      <c r="B300">
        <v>158.69</v>
      </c>
      <c r="C300">
        <v>58060000</v>
      </c>
    </row>
    <row r="301" spans="1:3" x14ac:dyDescent="0.35">
      <c r="A301" s="171">
        <v>45796</v>
      </c>
      <c r="B301">
        <v>157.57</v>
      </c>
      <c r="C301">
        <v>21840000</v>
      </c>
    </row>
    <row r="302" spans="1:3" x14ac:dyDescent="0.35">
      <c r="A302" s="171">
        <v>45793</v>
      </c>
      <c r="B302">
        <v>157.55000000000001</v>
      </c>
      <c r="C302">
        <v>22880000</v>
      </c>
    </row>
    <row r="303" spans="1:3" x14ac:dyDescent="0.35">
      <c r="A303" s="171">
        <v>45792</v>
      </c>
      <c r="B303">
        <v>157.35</v>
      </c>
      <c r="C303">
        <v>57070000</v>
      </c>
    </row>
    <row r="304" spans="1:3" x14ac:dyDescent="0.35">
      <c r="A304" s="171">
        <v>45791</v>
      </c>
      <c r="B304">
        <v>155.31</v>
      </c>
      <c r="C304">
        <v>60000000</v>
      </c>
    </row>
    <row r="305" spans="1:3" x14ac:dyDescent="0.35">
      <c r="A305" s="171">
        <v>45790</v>
      </c>
      <c r="B305">
        <v>149.43</v>
      </c>
      <c r="C305">
        <v>54390000</v>
      </c>
    </row>
    <row r="306" spans="1:3" x14ac:dyDescent="0.35">
      <c r="A306" s="171">
        <v>45789</v>
      </c>
      <c r="B306">
        <v>151.63</v>
      </c>
      <c r="C306">
        <v>47090000</v>
      </c>
    </row>
    <row r="307" spans="1:3" x14ac:dyDescent="0.35">
      <c r="A307" s="171">
        <v>45786</v>
      </c>
      <c r="B307">
        <v>142.78</v>
      </c>
      <c r="C307">
        <v>21880000</v>
      </c>
    </row>
    <row r="308" spans="1:3" x14ac:dyDescent="0.35">
      <c r="A308" s="171">
        <v>45785</v>
      </c>
      <c r="B308">
        <v>143.66999999999999</v>
      </c>
      <c r="C308">
        <v>29690000</v>
      </c>
    </row>
    <row r="309" spans="1:3" x14ac:dyDescent="0.35">
      <c r="A309" s="171">
        <v>45784</v>
      </c>
      <c r="B309">
        <v>146</v>
      </c>
      <c r="C309">
        <v>34670000</v>
      </c>
    </row>
    <row r="310" spans="1:3" x14ac:dyDescent="0.35">
      <c r="A310" s="171">
        <v>45783</v>
      </c>
      <c r="B310">
        <v>144.44</v>
      </c>
      <c r="C310">
        <v>42660000</v>
      </c>
    </row>
    <row r="311" spans="1:3" x14ac:dyDescent="0.35">
      <c r="A311" s="171">
        <v>45782</v>
      </c>
      <c r="B311">
        <v>142.08000000000001</v>
      </c>
      <c r="C311">
        <v>17210000</v>
      </c>
    </row>
    <row r="312" spans="1:3" x14ac:dyDescent="0.35">
      <c r="A312" s="171">
        <v>45779</v>
      </c>
      <c r="B312">
        <v>141.18</v>
      </c>
      <c r="C312">
        <v>34850000</v>
      </c>
    </row>
    <row r="313" spans="1:3" x14ac:dyDescent="0.35">
      <c r="A313" s="171">
        <v>45777</v>
      </c>
      <c r="B313">
        <v>140.08000000000001</v>
      </c>
      <c r="C313">
        <v>29210000</v>
      </c>
    </row>
    <row r="314" spans="1:3" x14ac:dyDescent="0.35">
      <c r="A314" s="171">
        <v>45776</v>
      </c>
      <c r="B314">
        <v>141.5</v>
      </c>
      <c r="C314">
        <v>25760000</v>
      </c>
    </row>
    <row r="315" spans="1:3" x14ac:dyDescent="0.35">
      <c r="A315" s="171">
        <v>45775</v>
      </c>
      <c r="B315">
        <v>142.07</v>
      </c>
      <c r="C315">
        <v>26970000</v>
      </c>
    </row>
    <row r="316" spans="1:3" x14ac:dyDescent="0.35">
      <c r="A316" s="171">
        <v>45772</v>
      </c>
      <c r="B316">
        <v>138.85</v>
      </c>
      <c r="C316">
        <v>37760000</v>
      </c>
    </row>
    <row r="317" spans="1:3" x14ac:dyDescent="0.35">
      <c r="A317" s="171">
        <v>45771</v>
      </c>
      <c r="B317">
        <v>141.52000000000001</v>
      </c>
      <c r="C317">
        <v>23060000</v>
      </c>
    </row>
    <row r="318" spans="1:3" x14ac:dyDescent="0.35">
      <c r="A318" s="171">
        <v>45770</v>
      </c>
      <c r="B318">
        <v>141.16</v>
      </c>
      <c r="C318">
        <v>37850000</v>
      </c>
    </row>
    <row r="319" spans="1:3" x14ac:dyDescent="0.35">
      <c r="A319" s="171">
        <v>45769</v>
      </c>
      <c r="B319">
        <v>138.16</v>
      </c>
      <c r="C319">
        <v>58430000</v>
      </c>
    </row>
    <row r="320" spans="1:3" x14ac:dyDescent="0.35">
      <c r="A320" s="171">
        <v>45768</v>
      </c>
      <c r="B320">
        <v>139.18</v>
      </c>
      <c r="C320">
        <v>26500000</v>
      </c>
    </row>
    <row r="321" spans="1:3" x14ac:dyDescent="0.35">
      <c r="A321" s="171">
        <v>45764</v>
      </c>
      <c r="B321">
        <v>137.13999999999999</v>
      </c>
      <c r="C321">
        <v>62280000</v>
      </c>
    </row>
    <row r="322" spans="1:3" x14ac:dyDescent="0.35">
      <c r="A322" s="171">
        <v>45763</v>
      </c>
      <c r="B322">
        <v>136.97</v>
      </c>
      <c r="C322">
        <v>42680000</v>
      </c>
    </row>
    <row r="323" spans="1:3" x14ac:dyDescent="0.35">
      <c r="A323" s="171">
        <v>45762</v>
      </c>
      <c r="B323">
        <v>136.41</v>
      </c>
      <c r="C323">
        <v>38970000</v>
      </c>
    </row>
    <row r="324" spans="1:3" x14ac:dyDescent="0.35">
      <c r="A324" s="171">
        <v>45758</v>
      </c>
      <c r="B324">
        <v>133.41999999999999</v>
      </c>
      <c r="C324">
        <v>73710000</v>
      </c>
    </row>
    <row r="325" spans="1:3" x14ac:dyDescent="0.35">
      <c r="A325" s="171">
        <v>45756</v>
      </c>
      <c r="B325">
        <v>127.18</v>
      </c>
      <c r="C325">
        <v>73400000</v>
      </c>
    </row>
    <row r="326" spans="1:3" x14ac:dyDescent="0.35">
      <c r="A326" s="171">
        <v>45755</v>
      </c>
      <c r="B326">
        <v>130.28</v>
      </c>
      <c r="C326">
        <v>69000000</v>
      </c>
    </row>
    <row r="327" spans="1:3" x14ac:dyDescent="0.35">
      <c r="A327" s="171">
        <v>45754</v>
      </c>
      <c r="B327">
        <v>129.47999999999999</v>
      </c>
      <c r="C327">
        <v>121810000</v>
      </c>
    </row>
    <row r="328" spans="1:3" x14ac:dyDescent="0.35">
      <c r="A328" s="171">
        <v>45751</v>
      </c>
      <c r="B328">
        <v>140.38999999999999</v>
      </c>
      <c r="C328">
        <v>80850000</v>
      </c>
    </row>
    <row r="329" spans="1:3" x14ac:dyDescent="0.35">
      <c r="A329" s="171">
        <v>45750</v>
      </c>
      <c r="B329">
        <v>153.62</v>
      </c>
      <c r="C329">
        <v>15120000</v>
      </c>
    </row>
    <row r="330" spans="1:3" x14ac:dyDescent="0.35">
      <c r="A330" s="171">
        <v>45749</v>
      </c>
      <c r="B330">
        <v>154.69</v>
      </c>
      <c r="C330">
        <v>24980000</v>
      </c>
    </row>
    <row r="331" spans="1:3" x14ac:dyDescent="0.35">
      <c r="A331" s="171">
        <v>45748</v>
      </c>
      <c r="B331">
        <v>153.12</v>
      </c>
      <c r="C331">
        <v>29140000</v>
      </c>
    </row>
    <row r="332" spans="1:3" x14ac:dyDescent="0.35">
      <c r="A332" s="171">
        <v>45744</v>
      </c>
      <c r="B332">
        <v>154.24</v>
      </c>
      <c r="C332">
        <v>24590000</v>
      </c>
    </row>
    <row r="333" spans="1:3" x14ac:dyDescent="0.35">
      <c r="A333" s="171">
        <v>45743</v>
      </c>
      <c r="B333">
        <v>155.41999999999999</v>
      </c>
      <c r="C333">
        <v>25910000</v>
      </c>
    </row>
    <row r="334" spans="1:3" x14ac:dyDescent="0.35">
      <c r="A334" s="171">
        <v>45742</v>
      </c>
      <c r="B334">
        <v>155.81</v>
      </c>
      <c r="C334">
        <v>23180000</v>
      </c>
    </row>
    <row r="335" spans="1:3" x14ac:dyDescent="0.35">
      <c r="A335" s="171">
        <v>45741</v>
      </c>
      <c r="B335">
        <v>156.72999999999999</v>
      </c>
      <c r="C335">
        <v>28470000</v>
      </c>
    </row>
    <row r="336" spans="1:3" x14ac:dyDescent="0.35">
      <c r="A336" s="171">
        <v>45740</v>
      </c>
      <c r="B336">
        <v>158.41999999999999</v>
      </c>
      <c r="C336">
        <v>30910000</v>
      </c>
    </row>
    <row r="337" spans="1:3" x14ac:dyDescent="0.35">
      <c r="A337" s="171">
        <v>45737</v>
      </c>
      <c r="B337">
        <v>157.28</v>
      </c>
      <c r="C337">
        <v>49180000</v>
      </c>
    </row>
    <row r="338" spans="1:3" x14ac:dyDescent="0.35">
      <c r="A338" s="171">
        <v>45736</v>
      </c>
      <c r="B338">
        <v>159.04</v>
      </c>
      <c r="C338">
        <v>39890000</v>
      </c>
    </row>
    <row r="339" spans="1:3" x14ac:dyDescent="0.35">
      <c r="A339" s="171">
        <v>45735</v>
      </c>
      <c r="B339">
        <v>158.6</v>
      </c>
      <c r="C339">
        <v>66160000</v>
      </c>
    </row>
    <row r="340" spans="1:3" x14ac:dyDescent="0.35">
      <c r="A340" s="171">
        <v>45734</v>
      </c>
      <c r="B340">
        <v>154.66</v>
      </c>
      <c r="C340">
        <v>38130000</v>
      </c>
    </row>
    <row r="341" spans="1:3" x14ac:dyDescent="0.35">
      <c r="A341" s="171">
        <v>45733</v>
      </c>
      <c r="B341">
        <v>151.81</v>
      </c>
      <c r="C341">
        <v>35880000</v>
      </c>
    </row>
    <row r="342" spans="1:3" x14ac:dyDescent="0.35">
      <c r="A342" s="171">
        <v>45729</v>
      </c>
      <c r="B342">
        <v>150.88</v>
      </c>
      <c r="C342">
        <v>48290000</v>
      </c>
    </row>
    <row r="343" spans="1:3" x14ac:dyDescent="0.35">
      <c r="A343" s="171">
        <v>45728</v>
      </c>
      <c r="B343">
        <v>150.30000000000001</v>
      </c>
      <c r="C343">
        <v>26380000</v>
      </c>
    </row>
    <row r="344" spans="1:3" x14ac:dyDescent="0.35">
      <c r="A344" s="171">
        <v>45727</v>
      </c>
      <c r="B344">
        <v>150.75</v>
      </c>
      <c r="C344">
        <v>35920000</v>
      </c>
    </row>
    <row r="345" spans="1:3" x14ac:dyDescent="0.35">
      <c r="A345" s="171">
        <v>45726</v>
      </c>
      <c r="B345">
        <v>151.05000000000001</v>
      </c>
      <c r="C345">
        <v>54450000</v>
      </c>
    </row>
    <row r="346" spans="1:3" x14ac:dyDescent="0.35">
      <c r="A346" s="171">
        <v>45723</v>
      </c>
      <c r="B346">
        <v>151.56</v>
      </c>
      <c r="C346">
        <v>81820000</v>
      </c>
    </row>
    <row r="347" spans="1:3" x14ac:dyDescent="0.35">
      <c r="A347" s="171">
        <v>45722</v>
      </c>
      <c r="B347">
        <v>150.44</v>
      </c>
      <c r="C347">
        <v>79120000</v>
      </c>
    </row>
    <row r="348" spans="1:3" x14ac:dyDescent="0.35">
      <c r="A348" s="171">
        <v>45721</v>
      </c>
      <c r="B348">
        <v>146.1</v>
      </c>
      <c r="C348">
        <v>62110000</v>
      </c>
    </row>
    <row r="349" spans="1:3" x14ac:dyDescent="0.35">
      <c r="A349" s="171">
        <v>45720</v>
      </c>
      <c r="B349">
        <v>139.34</v>
      </c>
      <c r="C349">
        <v>28630000</v>
      </c>
    </row>
    <row r="350" spans="1:3" x14ac:dyDescent="0.35">
      <c r="A350" s="171">
        <v>45719</v>
      </c>
      <c r="B350">
        <v>138.57</v>
      </c>
      <c r="C350">
        <v>31150000</v>
      </c>
    </row>
    <row r="351" spans="1:3" x14ac:dyDescent="0.35">
      <c r="A351" s="171">
        <v>45716</v>
      </c>
      <c r="B351">
        <v>137.19999999999999</v>
      </c>
      <c r="C351">
        <v>45540000</v>
      </c>
    </row>
    <row r="352" spans="1:3" x14ac:dyDescent="0.35">
      <c r="A352" s="171">
        <v>45715</v>
      </c>
      <c r="B352">
        <v>138.69</v>
      </c>
      <c r="C352">
        <v>30750000</v>
      </c>
    </row>
    <row r="353" spans="1:3" x14ac:dyDescent="0.35">
      <c r="A353" s="171">
        <v>45713</v>
      </c>
      <c r="B353">
        <v>137.07</v>
      </c>
      <c r="C353">
        <v>23580000</v>
      </c>
    </row>
    <row r="354" spans="1:3" x14ac:dyDescent="0.35">
      <c r="A354" s="171">
        <v>45712</v>
      </c>
      <c r="B354">
        <v>137.65</v>
      </c>
      <c r="C354">
        <v>25190000</v>
      </c>
    </row>
    <row r="355" spans="1:3" x14ac:dyDescent="0.35">
      <c r="A355" s="171">
        <v>45709</v>
      </c>
      <c r="B355">
        <v>140.76</v>
      </c>
      <c r="C355">
        <v>41990000</v>
      </c>
    </row>
    <row r="356" spans="1:3" x14ac:dyDescent="0.35">
      <c r="A356" s="171">
        <v>45708</v>
      </c>
      <c r="B356">
        <v>138.04</v>
      </c>
      <c r="C356">
        <v>24140000</v>
      </c>
    </row>
    <row r="357" spans="1:3" x14ac:dyDescent="0.35">
      <c r="A357" s="171">
        <v>45707</v>
      </c>
      <c r="B357">
        <v>135.76</v>
      </c>
      <c r="C357">
        <v>18450000</v>
      </c>
    </row>
    <row r="358" spans="1:3" x14ac:dyDescent="0.35">
      <c r="A358" s="171">
        <v>45706</v>
      </c>
      <c r="B358">
        <v>134.54</v>
      </c>
      <c r="C358">
        <v>23960000</v>
      </c>
    </row>
    <row r="359" spans="1:3" x14ac:dyDescent="0.35">
      <c r="A359" s="171">
        <v>45705</v>
      </c>
      <c r="B359">
        <v>134.29</v>
      </c>
      <c r="C359">
        <v>21190000</v>
      </c>
    </row>
    <row r="360" spans="1:3" x14ac:dyDescent="0.35">
      <c r="A360" s="171">
        <v>45702</v>
      </c>
      <c r="B360">
        <v>134.47</v>
      </c>
      <c r="C360">
        <v>41470000</v>
      </c>
    </row>
    <row r="361" spans="1:3" x14ac:dyDescent="0.35">
      <c r="A361" s="171">
        <v>45701</v>
      </c>
      <c r="B361">
        <v>136.25</v>
      </c>
      <c r="C361">
        <v>52040000</v>
      </c>
    </row>
    <row r="362" spans="1:3" x14ac:dyDescent="0.35">
      <c r="A362" s="171">
        <v>45700</v>
      </c>
      <c r="B362">
        <v>132.28</v>
      </c>
      <c r="C362">
        <v>37930000</v>
      </c>
    </row>
    <row r="363" spans="1:3" x14ac:dyDescent="0.35">
      <c r="A363" s="171">
        <v>45699</v>
      </c>
      <c r="B363">
        <v>130.11000000000001</v>
      </c>
      <c r="C363">
        <v>23640000</v>
      </c>
    </row>
    <row r="364" spans="1:3" x14ac:dyDescent="0.35">
      <c r="A364" s="171">
        <v>45698</v>
      </c>
      <c r="B364">
        <v>134.04</v>
      </c>
      <c r="C364">
        <v>26120000</v>
      </c>
    </row>
    <row r="365" spans="1:3" x14ac:dyDescent="0.35">
      <c r="A365" s="171">
        <v>45695</v>
      </c>
      <c r="B365">
        <v>138.31</v>
      </c>
      <c r="C365">
        <v>52950000</v>
      </c>
    </row>
    <row r="366" spans="1:3" x14ac:dyDescent="0.35">
      <c r="A366" s="171">
        <v>45694</v>
      </c>
      <c r="B366">
        <v>132.54</v>
      </c>
      <c r="C366">
        <v>22410000</v>
      </c>
    </row>
    <row r="367" spans="1:3" x14ac:dyDescent="0.35">
      <c r="A367" s="171">
        <v>45693</v>
      </c>
      <c r="B367">
        <v>134.4</v>
      </c>
      <c r="C367">
        <v>16960000</v>
      </c>
    </row>
    <row r="368" spans="1:3" x14ac:dyDescent="0.35">
      <c r="A368" s="171">
        <v>45692</v>
      </c>
      <c r="B368">
        <v>133.41999999999999</v>
      </c>
      <c r="C368">
        <v>25030000</v>
      </c>
    </row>
    <row r="369" spans="1:3" x14ac:dyDescent="0.35">
      <c r="A369" s="171">
        <v>45691</v>
      </c>
      <c r="B369">
        <v>131.82</v>
      </c>
      <c r="C369">
        <v>27770000</v>
      </c>
    </row>
    <row r="370" spans="1:3" x14ac:dyDescent="0.35">
      <c r="A370" s="171">
        <v>45689</v>
      </c>
      <c r="B370">
        <v>132.97</v>
      </c>
      <c r="C370">
        <v>21170000</v>
      </c>
    </row>
    <row r="371" spans="1:3" x14ac:dyDescent="0.35">
      <c r="A371" s="171">
        <v>45688</v>
      </c>
      <c r="B371">
        <v>134.62</v>
      </c>
      <c r="C371">
        <v>26690000</v>
      </c>
    </row>
    <row r="372" spans="1:3" x14ac:dyDescent="0.35">
      <c r="A372" s="171">
        <v>45687</v>
      </c>
      <c r="B372">
        <v>131.12</v>
      </c>
      <c r="C372">
        <v>25260000</v>
      </c>
    </row>
    <row r="373" spans="1:3" x14ac:dyDescent="0.35">
      <c r="A373" s="171">
        <v>45686</v>
      </c>
      <c r="B373">
        <v>130.80000000000001</v>
      </c>
      <c r="C373">
        <v>16670000.000000002</v>
      </c>
    </row>
    <row r="374" spans="1:3" x14ac:dyDescent="0.35">
      <c r="A374" s="171">
        <v>45685</v>
      </c>
      <c r="B374">
        <v>128.62</v>
      </c>
      <c r="C374">
        <v>40370000</v>
      </c>
    </row>
    <row r="375" spans="1:3" x14ac:dyDescent="0.35">
      <c r="A375" s="171">
        <v>45684</v>
      </c>
      <c r="B375">
        <v>126.37</v>
      </c>
      <c r="C375">
        <v>24650000</v>
      </c>
    </row>
    <row r="376" spans="1:3" x14ac:dyDescent="0.35">
      <c r="A376" s="171">
        <v>45681</v>
      </c>
      <c r="B376">
        <v>129.74</v>
      </c>
      <c r="C376">
        <v>37090000</v>
      </c>
    </row>
    <row r="377" spans="1:3" x14ac:dyDescent="0.35">
      <c r="A377" s="171">
        <v>45680</v>
      </c>
      <c r="B377">
        <v>130.37</v>
      </c>
      <c r="C377">
        <v>20720000</v>
      </c>
    </row>
    <row r="378" spans="1:3" x14ac:dyDescent="0.35">
      <c r="A378" s="171">
        <v>45679</v>
      </c>
      <c r="B378">
        <v>128.91999999999999</v>
      </c>
      <c r="C378">
        <v>27510000</v>
      </c>
    </row>
    <row r="379" spans="1:3" x14ac:dyDescent="0.35">
      <c r="A379" s="171">
        <v>45678</v>
      </c>
      <c r="B379">
        <v>129.69999999999999</v>
      </c>
      <c r="C379">
        <v>32240000.000000004</v>
      </c>
    </row>
    <row r="380" spans="1:3" x14ac:dyDescent="0.35">
      <c r="A380" s="171">
        <v>45677</v>
      </c>
      <c r="B380">
        <v>131.66</v>
      </c>
      <c r="C380">
        <v>20570000</v>
      </c>
    </row>
    <row r="381" spans="1:3" x14ac:dyDescent="0.35">
      <c r="A381" s="171">
        <v>45674</v>
      </c>
      <c r="B381">
        <v>130.28</v>
      </c>
      <c r="C381">
        <v>27420000</v>
      </c>
    </row>
    <row r="382" spans="1:3" x14ac:dyDescent="0.35">
      <c r="A382" s="171">
        <v>45673</v>
      </c>
      <c r="B382">
        <v>127.81</v>
      </c>
      <c r="C382">
        <v>22160000</v>
      </c>
    </row>
    <row r="383" spans="1:3" x14ac:dyDescent="0.35">
      <c r="A383" s="171">
        <v>45672</v>
      </c>
      <c r="B383">
        <v>126.53</v>
      </c>
      <c r="C383">
        <v>18770000</v>
      </c>
    </row>
    <row r="384" spans="1:3" x14ac:dyDescent="0.35">
      <c r="A384" s="171">
        <v>45671</v>
      </c>
      <c r="B384">
        <v>126.93</v>
      </c>
      <c r="C384">
        <v>36880000</v>
      </c>
    </row>
    <row r="385" spans="1:3" x14ac:dyDescent="0.35">
      <c r="A385" s="171">
        <v>45670</v>
      </c>
      <c r="B385">
        <v>122.93</v>
      </c>
      <c r="C385">
        <v>38970000</v>
      </c>
    </row>
    <row r="386" spans="1:3" x14ac:dyDescent="0.35">
      <c r="A386" s="171">
        <v>45667</v>
      </c>
      <c r="B386">
        <v>127.43</v>
      </c>
      <c r="C386">
        <v>34860000</v>
      </c>
    </row>
    <row r="387" spans="1:3" x14ac:dyDescent="0.35">
      <c r="A387" s="171">
        <v>45666</v>
      </c>
      <c r="B387">
        <v>129.93</v>
      </c>
      <c r="C387">
        <v>31900000</v>
      </c>
    </row>
    <row r="388" spans="1:3" x14ac:dyDescent="0.35">
      <c r="A388" s="171">
        <v>45665</v>
      </c>
      <c r="B388">
        <v>132.63999999999999</v>
      </c>
      <c r="C388">
        <v>31570000</v>
      </c>
    </row>
    <row r="389" spans="1:3" x14ac:dyDescent="0.35">
      <c r="A389" s="171">
        <v>45664</v>
      </c>
      <c r="B389">
        <v>133.38</v>
      </c>
      <c r="C389">
        <v>24240000</v>
      </c>
    </row>
    <row r="390" spans="1:3" x14ac:dyDescent="0.35">
      <c r="A390" s="171">
        <v>45663</v>
      </c>
      <c r="B390">
        <v>132.18</v>
      </c>
      <c r="C390">
        <v>44620000</v>
      </c>
    </row>
    <row r="391" spans="1:3" x14ac:dyDescent="0.35">
      <c r="A391" s="171">
        <v>45660</v>
      </c>
      <c r="B391">
        <v>138.36000000000001</v>
      </c>
      <c r="C391">
        <v>23350000</v>
      </c>
    </row>
    <row r="392" spans="1:3" x14ac:dyDescent="0.35">
      <c r="A392" s="171">
        <v>45659</v>
      </c>
      <c r="B392">
        <v>138.18</v>
      </c>
      <c r="C392">
        <v>23390000</v>
      </c>
    </row>
    <row r="393" spans="1:3" x14ac:dyDescent="0.35">
      <c r="A393" s="171">
        <v>45658</v>
      </c>
      <c r="B393">
        <v>136.74</v>
      </c>
      <c r="C393">
        <v>18170000</v>
      </c>
    </row>
    <row r="394" spans="1:3" x14ac:dyDescent="0.35">
      <c r="A394" s="171">
        <v>45657</v>
      </c>
      <c r="B394">
        <v>138.05000000000001</v>
      </c>
      <c r="C394">
        <v>20080000</v>
      </c>
    </row>
    <row r="395" spans="1:3" x14ac:dyDescent="0.35">
      <c r="A395" s="171">
        <v>45656</v>
      </c>
      <c r="B395">
        <v>136.88</v>
      </c>
      <c r="C395">
        <v>32560000.000000004</v>
      </c>
    </row>
    <row r="396" spans="1:3" x14ac:dyDescent="0.35">
      <c r="A396" s="171">
        <v>45653</v>
      </c>
      <c r="B396">
        <v>138.91</v>
      </c>
      <c r="C396">
        <v>19560000</v>
      </c>
    </row>
    <row r="397" spans="1:3" x14ac:dyDescent="0.35">
      <c r="A397" s="171">
        <v>45652</v>
      </c>
      <c r="B397">
        <v>140.36000000000001</v>
      </c>
      <c r="C397">
        <v>23940000</v>
      </c>
    </row>
    <row r="398" spans="1:3" x14ac:dyDescent="0.35">
      <c r="A398" s="171">
        <v>45650</v>
      </c>
      <c r="B398">
        <v>140.38</v>
      </c>
      <c r="C398">
        <v>25880000</v>
      </c>
    </row>
    <row r="399" spans="1:3" x14ac:dyDescent="0.35">
      <c r="A399" s="171">
        <v>45649</v>
      </c>
      <c r="B399">
        <v>141.71</v>
      </c>
      <c r="C399">
        <v>27510000</v>
      </c>
    </row>
    <row r="400" spans="1:3" x14ac:dyDescent="0.35">
      <c r="A400" s="171">
        <v>45646</v>
      </c>
      <c r="B400">
        <v>140.68</v>
      </c>
      <c r="C400">
        <v>46500000</v>
      </c>
    </row>
    <row r="401" spans="1:3" x14ac:dyDescent="0.35">
      <c r="A401" s="171">
        <v>45645</v>
      </c>
      <c r="B401">
        <v>143.26</v>
      </c>
      <c r="C401">
        <v>27100000</v>
      </c>
    </row>
    <row r="402" spans="1:3" x14ac:dyDescent="0.35">
      <c r="A402" s="171">
        <v>45644</v>
      </c>
      <c r="B402">
        <v>144.46</v>
      </c>
      <c r="C402">
        <v>19850000</v>
      </c>
    </row>
    <row r="403" spans="1:3" x14ac:dyDescent="0.35">
      <c r="A403" s="171">
        <v>45643</v>
      </c>
      <c r="B403">
        <v>145.68</v>
      </c>
      <c r="C403">
        <v>27110000</v>
      </c>
    </row>
    <row r="404" spans="1:3" x14ac:dyDescent="0.35">
      <c r="A404" s="171">
        <v>45642</v>
      </c>
      <c r="B404">
        <v>147.79</v>
      </c>
      <c r="C404">
        <v>22630000</v>
      </c>
    </row>
    <row r="405" spans="1:3" x14ac:dyDescent="0.35">
      <c r="A405" s="171">
        <v>45639</v>
      </c>
      <c r="B405">
        <v>148.94999999999999</v>
      </c>
      <c r="C405">
        <v>39700000</v>
      </c>
    </row>
    <row r="406" spans="1:3" x14ac:dyDescent="0.35">
      <c r="A406" s="171">
        <v>45638</v>
      </c>
      <c r="B406">
        <v>150.78</v>
      </c>
      <c r="C406">
        <v>25760000</v>
      </c>
    </row>
    <row r="407" spans="1:3" x14ac:dyDescent="0.35">
      <c r="A407" s="171">
        <v>45637</v>
      </c>
      <c r="B407">
        <v>150.6</v>
      </c>
      <c r="C407">
        <v>20500000</v>
      </c>
    </row>
    <row r="408" spans="1:3" x14ac:dyDescent="0.35">
      <c r="A408" s="171">
        <v>45636</v>
      </c>
      <c r="B408">
        <v>150.32</v>
      </c>
      <c r="C408">
        <v>36280000</v>
      </c>
    </row>
    <row r="409" spans="1:3" x14ac:dyDescent="0.35">
      <c r="A409" s="171">
        <v>45635</v>
      </c>
      <c r="B409">
        <v>149.88</v>
      </c>
      <c r="C409">
        <v>39060000</v>
      </c>
    </row>
    <row r="410" spans="1:3" x14ac:dyDescent="0.35">
      <c r="A410" s="171">
        <v>45632</v>
      </c>
      <c r="B410">
        <v>148.29</v>
      </c>
      <c r="C410">
        <v>30600000</v>
      </c>
    </row>
    <row r="411" spans="1:3" x14ac:dyDescent="0.35">
      <c r="A411" s="171">
        <v>45631</v>
      </c>
      <c r="B411">
        <v>147.07</v>
      </c>
      <c r="C411">
        <v>36330000</v>
      </c>
    </row>
    <row r="412" spans="1:3" x14ac:dyDescent="0.35">
      <c r="A412" s="171">
        <v>45630</v>
      </c>
      <c r="B412">
        <v>145.85</v>
      </c>
      <c r="C412">
        <v>38540000</v>
      </c>
    </row>
    <row r="413" spans="1:3" x14ac:dyDescent="0.35">
      <c r="A413" s="171">
        <v>45629</v>
      </c>
      <c r="B413">
        <v>146.54</v>
      </c>
      <c r="C413">
        <v>35530000</v>
      </c>
    </row>
    <row r="414" spans="1:3" x14ac:dyDescent="0.35">
      <c r="A414" s="171">
        <v>45628</v>
      </c>
      <c r="B414">
        <v>146.41</v>
      </c>
      <c r="C414">
        <v>23840000</v>
      </c>
    </row>
    <row r="415" spans="1:3" x14ac:dyDescent="0.35">
      <c r="A415" s="171">
        <v>45625</v>
      </c>
      <c r="B415">
        <v>144.54</v>
      </c>
      <c r="C415">
        <v>29740000</v>
      </c>
    </row>
    <row r="416" spans="1:3" x14ac:dyDescent="0.35">
      <c r="A416" s="171">
        <v>45624</v>
      </c>
      <c r="B416">
        <v>143.38999999999999</v>
      </c>
      <c r="C416">
        <v>30950000</v>
      </c>
    </row>
    <row r="417" spans="1:3" x14ac:dyDescent="0.35">
      <c r="A417" s="171">
        <v>45623</v>
      </c>
      <c r="B417">
        <v>144.53</v>
      </c>
      <c r="C417">
        <v>24900000</v>
      </c>
    </row>
    <row r="418" spans="1:3" x14ac:dyDescent="0.35">
      <c r="A418" s="171">
        <v>45622</v>
      </c>
      <c r="B418">
        <v>144.47</v>
      </c>
      <c r="C418">
        <v>25610000</v>
      </c>
    </row>
    <row r="419" spans="1:3" x14ac:dyDescent="0.35">
      <c r="A419" s="171">
        <v>45621</v>
      </c>
      <c r="B419">
        <v>143.66999999999999</v>
      </c>
      <c r="C419">
        <v>53880000</v>
      </c>
    </row>
    <row r="420" spans="1:3" x14ac:dyDescent="0.35">
      <c r="A420" s="171">
        <v>45618</v>
      </c>
      <c r="B420">
        <v>142.78</v>
      </c>
      <c r="C420">
        <v>43710000</v>
      </c>
    </row>
    <row r="421" spans="1:3" x14ac:dyDescent="0.35">
      <c r="A421" s="171">
        <v>45617</v>
      </c>
      <c r="B421">
        <v>140.22</v>
      </c>
      <c r="C421">
        <v>58400000</v>
      </c>
    </row>
    <row r="422" spans="1:3" x14ac:dyDescent="0.35">
      <c r="A422" s="171">
        <v>45615</v>
      </c>
      <c r="B422">
        <v>139.46</v>
      </c>
      <c r="C422">
        <v>37610000</v>
      </c>
    </row>
    <row r="423" spans="1:3" x14ac:dyDescent="0.35">
      <c r="A423" s="171">
        <v>45614</v>
      </c>
      <c r="B423">
        <v>141.21</v>
      </c>
      <c r="C423">
        <v>40230000</v>
      </c>
    </row>
    <row r="424" spans="1:3" x14ac:dyDescent="0.35">
      <c r="A424" s="171">
        <v>45610</v>
      </c>
      <c r="B424">
        <v>137.97999999999999</v>
      </c>
      <c r="C424">
        <v>36350000</v>
      </c>
    </row>
    <row r="425" spans="1:3" x14ac:dyDescent="0.35">
      <c r="A425" s="171">
        <v>45609</v>
      </c>
      <c r="B425">
        <v>139.16999999999999</v>
      </c>
      <c r="C425">
        <v>57610000</v>
      </c>
    </row>
    <row r="426" spans="1:3" x14ac:dyDescent="0.35">
      <c r="A426" s="171">
        <v>45608</v>
      </c>
      <c r="B426">
        <v>144.16999999999999</v>
      </c>
      <c r="C426">
        <v>28860000</v>
      </c>
    </row>
    <row r="427" spans="1:3" x14ac:dyDescent="0.35">
      <c r="A427" s="171">
        <v>45607</v>
      </c>
      <c r="B427">
        <v>145.01</v>
      </c>
      <c r="C427">
        <v>47500000</v>
      </c>
    </row>
    <row r="428" spans="1:3" x14ac:dyDescent="0.35">
      <c r="A428" s="171">
        <v>45604</v>
      </c>
      <c r="B428">
        <v>147.57</v>
      </c>
      <c r="C428">
        <v>61980000</v>
      </c>
    </row>
    <row r="429" spans="1:3" x14ac:dyDescent="0.35">
      <c r="A429" s="171">
        <v>45603</v>
      </c>
      <c r="B429">
        <v>150.94999999999999</v>
      </c>
      <c r="C429">
        <v>88250000</v>
      </c>
    </row>
    <row r="430" spans="1:3" x14ac:dyDescent="0.35">
      <c r="A430" s="171">
        <v>45602</v>
      </c>
      <c r="B430">
        <v>153.62</v>
      </c>
      <c r="C430">
        <v>48930000</v>
      </c>
    </row>
    <row r="431" spans="1:3" x14ac:dyDescent="0.35">
      <c r="A431" s="171">
        <v>45601</v>
      </c>
      <c r="B431">
        <v>152.29</v>
      </c>
      <c r="C431">
        <v>42770000</v>
      </c>
    </row>
    <row r="432" spans="1:3" x14ac:dyDescent="0.35">
      <c r="A432" s="171">
        <v>45600</v>
      </c>
      <c r="B432">
        <v>146.94999999999999</v>
      </c>
      <c r="C432">
        <v>25570000</v>
      </c>
    </row>
    <row r="433" spans="1:3" x14ac:dyDescent="0.35">
      <c r="A433" s="171">
        <v>45597</v>
      </c>
      <c r="B433">
        <v>149.75</v>
      </c>
      <c r="C433">
        <v>5110000</v>
      </c>
    </row>
    <row r="434" spans="1:3" x14ac:dyDescent="0.35">
      <c r="A434" s="171">
        <v>45596</v>
      </c>
      <c r="B434">
        <v>148.56</v>
      </c>
      <c r="C434">
        <v>26380000</v>
      </c>
    </row>
    <row r="435" spans="1:3" x14ac:dyDescent="0.35">
      <c r="A435" s="171">
        <v>45595</v>
      </c>
      <c r="B435">
        <v>148.97</v>
      </c>
      <c r="C435">
        <v>21360000</v>
      </c>
    </row>
    <row r="436" spans="1:3" x14ac:dyDescent="0.35">
      <c r="A436" s="171">
        <v>45594</v>
      </c>
      <c r="B436">
        <v>150.06</v>
      </c>
      <c r="C436">
        <v>32259999.999999996</v>
      </c>
    </row>
    <row r="437" spans="1:3" x14ac:dyDescent="0.35">
      <c r="A437" s="171">
        <v>45593</v>
      </c>
      <c r="B437">
        <v>149.38</v>
      </c>
      <c r="C437">
        <v>28390000</v>
      </c>
    </row>
    <row r="438" spans="1:3" x14ac:dyDescent="0.35">
      <c r="A438" s="171">
        <v>45590</v>
      </c>
      <c r="B438">
        <v>145.86000000000001</v>
      </c>
      <c r="C438">
        <v>39730000</v>
      </c>
    </row>
    <row r="439" spans="1:3" x14ac:dyDescent="0.35">
      <c r="A439" s="171">
        <v>45589</v>
      </c>
      <c r="B439">
        <v>148.97999999999999</v>
      </c>
      <c r="C439">
        <v>22120000</v>
      </c>
    </row>
    <row r="440" spans="1:3" x14ac:dyDescent="0.35">
      <c r="A440" s="171">
        <v>45588</v>
      </c>
      <c r="B440">
        <v>148.78</v>
      </c>
      <c r="C440">
        <v>42110000</v>
      </c>
    </row>
    <row r="441" spans="1:3" x14ac:dyDescent="0.35">
      <c r="A441" s="171">
        <v>45587</v>
      </c>
      <c r="B441">
        <v>150.38999999999999</v>
      </c>
      <c r="C441">
        <v>39080000</v>
      </c>
    </row>
    <row r="442" spans="1:3" x14ac:dyDescent="0.35">
      <c r="A442" s="171">
        <v>45586</v>
      </c>
      <c r="B442">
        <v>155.03</v>
      </c>
      <c r="C442">
        <v>25800000</v>
      </c>
    </row>
    <row r="443" spans="1:3" x14ac:dyDescent="0.35">
      <c r="A443" s="171">
        <v>45583</v>
      </c>
      <c r="B443">
        <v>155.38999999999999</v>
      </c>
      <c r="C443">
        <v>34750000</v>
      </c>
    </row>
    <row r="444" spans="1:3" x14ac:dyDescent="0.35">
      <c r="A444" s="171">
        <v>45582</v>
      </c>
      <c r="B444">
        <v>152.4</v>
      </c>
      <c r="C444">
        <v>28400000</v>
      </c>
    </row>
    <row r="445" spans="1:3" x14ac:dyDescent="0.35">
      <c r="A445" s="171">
        <v>45581</v>
      </c>
      <c r="B445">
        <v>155.24</v>
      </c>
      <c r="C445">
        <v>28520000</v>
      </c>
    </row>
    <row r="446" spans="1:3" x14ac:dyDescent="0.35">
      <c r="A446" s="171">
        <v>45580</v>
      </c>
      <c r="B446">
        <v>155.63</v>
      </c>
      <c r="C446">
        <v>38960000</v>
      </c>
    </row>
    <row r="447" spans="1:3" x14ac:dyDescent="0.35">
      <c r="A447" s="171">
        <v>45579</v>
      </c>
      <c r="B447">
        <v>158.32</v>
      </c>
      <c r="C447">
        <v>35570000</v>
      </c>
    </row>
    <row r="448" spans="1:3" x14ac:dyDescent="0.35">
      <c r="A448" s="171">
        <v>45576</v>
      </c>
      <c r="B448">
        <v>160.66</v>
      </c>
      <c r="C448">
        <v>53260000</v>
      </c>
    </row>
    <row r="449" spans="1:3" x14ac:dyDescent="0.35">
      <c r="A449" s="171">
        <v>45575</v>
      </c>
      <c r="B449">
        <v>159.72</v>
      </c>
      <c r="C449">
        <v>46510000</v>
      </c>
    </row>
    <row r="450" spans="1:3" x14ac:dyDescent="0.35">
      <c r="A450" s="171">
        <v>45574</v>
      </c>
      <c r="B450">
        <v>159.06</v>
      </c>
      <c r="C450">
        <v>42770000</v>
      </c>
    </row>
    <row r="451" spans="1:3" x14ac:dyDescent="0.35">
      <c r="A451" s="171">
        <v>45573</v>
      </c>
      <c r="B451">
        <v>159.52000000000001</v>
      </c>
      <c r="C451">
        <v>74960000</v>
      </c>
    </row>
    <row r="452" spans="1:3" x14ac:dyDescent="0.35">
      <c r="A452" s="171">
        <v>45572</v>
      </c>
      <c r="B452">
        <v>164.36</v>
      </c>
      <c r="C452">
        <v>48780000</v>
      </c>
    </row>
    <row r="453" spans="1:3" x14ac:dyDescent="0.35">
      <c r="A453" s="171">
        <v>45569</v>
      </c>
      <c r="B453">
        <v>166.75</v>
      </c>
      <c r="C453">
        <v>53880000</v>
      </c>
    </row>
    <row r="454" spans="1:3" x14ac:dyDescent="0.35">
      <c r="A454" s="171">
        <v>45568</v>
      </c>
      <c r="B454">
        <v>166.98</v>
      </c>
      <c r="C454">
        <v>75960000</v>
      </c>
    </row>
    <row r="455" spans="1:3" x14ac:dyDescent="0.35">
      <c r="A455" s="171">
        <v>45566</v>
      </c>
      <c r="B455">
        <v>167.03</v>
      </c>
      <c r="C455">
        <v>50760000</v>
      </c>
    </row>
    <row r="456" spans="1:3" x14ac:dyDescent="0.35">
      <c r="A456" s="171">
        <v>45565</v>
      </c>
      <c r="B456">
        <v>168.55</v>
      </c>
      <c r="C456">
        <v>92380000</v>
      </c>
    </row>
    <row r="457" spans="1:3" x14ac:dyDescent="0.35">
      <c r="A457" s="171">
        <v>45562</v>
      </c>
      <c r="B457">
        <v>166.55</v>
      </c>
      <c r="C457">
        <v>72800000</v>
      </c>
    </row>
    <row r="458" spans="1:3" x14ac:dyDescent="0.35">
      <c r="A458" s="171">
        <v>45561</v>
      </c>
      <c r="B458">
        <v>165.61</v>
      </c>
      <c r="C458">
        <v>88660000</v>
      </c>
    </row>
    <row r="459" spans="1:3" x14ac:dyDescent="0.35">
      <c r="A459" s="171">
        <v>45560</v>
      </c>
      <c r="B459">
        <v>161.66</v>
      </c>
      <c r="C459">
        <v>58040000</v>
      </c>
    </row>
    <row r="460" spans="1:3" x14ac:dyDescent="0.35">
      <c r="A460" s="171">
        <v>45559</v>
      </c>
      <c r="B460">
        <v>160.53</v>
      </c>
      <c r="C460">
        <v>137410000</v>
      </c>
    </row>
    <row r="461" spans="1:3" x14ac:dyDescent="0.35">
      <c r="A461" s="171">
        <v>45558</v>
      </c>
      <c r="B461">
        <v>153.99</v>
      </c>
      <c r="C461">
        <v>33280000</v>
      </c>
    </row>
    <row r="462" spans="1:3" x14ac:dyDescent="0.35">
      <c r="A462" s="171">
        <v>45555</v>
      </c>
      <c r="B462">
        <v>152.02000000000001</v>
      </c>
      <c r="C462">
        <v>53870000</v>
      </c>
    </row>
    <row r="463" spans="1:3" x14ac:dyDescent="0.35">
      <c r="A463" s="171">
        <v>45554</v>
      </c>
      <c r="B463">
        <v>149.54</v>
      </c>
      <c r="C463">
        <v>36910000</v>
      </c>
    </row>
    <row r="464" spans="1:3" x14ac:dyDescent="0.35">
      <c r="A464" s="171">
        <v>45553</v>
      </c>
      <c r="B464">
        <v>150.6</v>
      </c>
      <c r="C464">
        <v>24860000</v>
      </c>
    </row>
    <row r="465" spans="1:3" x14ac:dyDescent="0.35">
      <c r="A465" s="171">
        <v>45552</v>
      </c>
      <c r="B465">
        <v>152.82</v>
      </c>
      <c r="C465">
        <v>18280000</v>
      </c>
    </row>
    <row r="466" spans="1:3" x14ac:dyDescent="0.35">
      <c r="A466" s="171">
        <v>45551</v>
      </c>
      <c r="B466">
        <v>154.21</v>
      </c>
      <c r="C466">
        <v>32580000</v>
      </c>
    </row>
    <row r="467" spans="1:3" x14ac:dyDescent="0.35">
      <c r="A467" s="171">
        <v>45548</v>
      </c>
      <c r="B467">
        <v>153.49</v>
      </c>
      <c r="C467">
        <v>54890000</v>
      </c>
    </row>
    <row r="468" spans="1:3" x14ac:dyDescent="0.35">
      <c r="A468" s="171">
        <v>45547</v>
      </c>
      <c r="B468">
        <v>151.74</v>
      </c>
      <c r="C468">
        <v>73190000</v>
      </c>
    </row>
    <row r="469" spans="1:3" x14ac:dyDescent="0.35">
      <c r="A469" s="171">
        <v>45546</v>
      </c>
      <c r="B469">
        <v>148.16999999999999</v>
      </c>
      <c r="C469">
        <v>24630000</v>
      </c>
    </row>
    <row r="470" spans="1:3" x14ac:dyDescent="0.35">
      <c r="A470" s="171">
        <v>45545</v>
      </c>
      <c r="B470">
        <v>149.41999999999999</v>
      </c>
      <c r="C470">
        <v>41610000</v>
      </c>
    </row>
    <row r="471" spans="1:3" x14ac:dyDescent="0.35">
      <c r="A471" s="171">
        <v>45544</v>
      </c>
      <c r="B471">
        <v>149.47</v>
      </c>
      <c r="C471">
        <v>32619999.999999996</v>
      </c>
    </row>
    <row r="472" spans="1:3" x14ac:dyDescent="0.35">
      <c r="A472" s="171">
        <v>45541</v>
      </c>
      <c r="B472">
        <v>151.22</v>
      </c>
      <c r="C472">
        <v>30710000</v>
      </c>
    </row>
    <row r="473" spans="1:3" x14ac:dyDescent="0.35">
      <c r="A473" s="171">
        <v>45540</v>
      </c>
      <c r="B473">
        <v>151.72</v>
      </c>
      <c r="C473">
        <v>28350000</v>
      </c>
    </row>
    <row r="474" spans="1:3" x14ac:dyDescent="0.35">
      <c r="A474" s="171">
        <v>45539</v>
      </c>
      <c r="B474">
        <v>151.18</v>
      </c>
      <c r="C474">
        <v>39610000</v>
      </c>
    </row>
    <row r="475" spans="1:3" x14ac:dyDescent="0.35">
      <c r="A475" s="171">
        <v>45538</v>
      </c>
      <c r="B475">
        <v>152.15</v>
      </c>
      <c r="C475">
        <v>19780000</v>
      </c>
    </row>
    <row r="476" spans="1:3" x14ac:dyDescent="0.35">
      <c r="A476" s="171">
        <v>45537</v>
      </c>
      <c r="B476">
        <v>152.88</v>
      </c>
      <c r="C476">
        <v>19200000</v>
      </c>
    </row>
    <row r="477" spans="1:3" x14ac:dyDescent="0.35">
      <c r="A477" s="171">
        <v>45534</v>
      </c>
      <c r="B477">
        <v>152.76</v>
      </c>
      <c r="C477">
        <v>55130000</v>
      </c>
    </row>
    <row r="478" spans="1:3" x14ac:dyDescent="0.35">
      <c r="A478" s="171">
        <v>45533</v>
      </c>
      <c r="B478">
        <v>152.97</v>
      </c>
      <c r="C478">
        <v>44450000</v>
      </c>
    </row>
    <row r="479" spans="1:3" x14ac:dyDescent="0.35">
      <c r="A479" s="171">
        <v>45532</v>
      </c>
      <c r="B479">
        <v>153.69999999999999</v>
      </c>
      <c r="C479">
        <v>25200000</v>
      </c>
    </row>
    <row r="480" spans="1:3" x14ac:dyDescent="0.35">
      <c r="A480" s="171">
        <v>45531</v>
      </c>
      <c r="B480">
        <v>154.69999999999999</v>
      </c>
      <c r="C480">
        <v>24520000</v>
      </c>
    </row>
    <row r="481" spans="1:3" x14ac:dyDescent="0.35">
      <c r="A481" s="171">
        <v>45530</v>
      </c>
      <c r="B481">
        <v>155.69999999999999</v>
      </c>
      <c r="C481">
        <v>32500000</v>
      </c>
    </row>
    <row r="482" spans="1:3" x14ac:dyDescent="0.35">
      <c r="A482" s="171">
        <v>45527</v>
      </c>
      <c r="B482">
        <v>154.19999999999999</v>
      </c>
      <c r="C482">
        <v>31490000</v>
      </c>
    </row>
    <row r="483" spans="1:3" x14ac:dyDescent="0.35">
      <c r="A483" s="171">
        <v>45526</v>
      </c>
      <c r="B483">
        <v>154.13999999999999</v>
      </c>
      <c r="C483">
        <v>36720000</v>
      </c>
    </row>
    <row r="484" spans="1:3" x14ac:dyDescent="0.35">
      <c r="A484" s="171">
        <v>45525</v>
      </c>
      <c r="B484">
        <v>151.91999999999999</v>
      </c>
      <c r="C484">
        <v>49750000</v>
      </c>
    </row>
    <row r="485" spans="1:3" x14ac:dyDescent="0.35">
      <c r="A485" s="171">
        <v>45524</v>
      </c>
      <c r="B485">
        <v>153.93</v>
      </c>
      <c r="C485">
        <v>37560000</v>
      </c>
    </row>
    <row r="486" spans="1:3" x14ac:dyDescent="0.35">
      <c r="A486" s="171">
        <v>45523</v>
      </c>
      <c r="B486">
        <v>153.96</v>
      </c>
      <c r="C486">
        <v>62890000</v>
      </c>
    </row>
    <row r="487" spans="1:3" x14ac:dyDescent="0.35">
      <c r="A487" s="171">
        <v>45520</v>
      </c>
      <c r="B487">
        <v>149.52000000000001</v>
      </c>
      <c r="C487">
        <v>54130000</v>
      </c>
    </row>
    <row r="488" spans="1:3" x14ac:dyDescent="0.35">
      <c r="A488" s="171">
        <v>45518</v>
      </c>
      <c r="B488">
        <v>146.16999999999999</v>
      </c>
      <c r="C488">
        <v>97910000</v>
      </c>
    </row>
    <row r="489" spans="1:3" x14ac:dyDescent="0.35">
      <c r="A489" s="171">
        <v>45517</v>
      </c>
      <c r="B489">
        <v>148.88</v>
      </c>
      <c r="C489">
        <v>29400000</v>
      </c>
    </row>
    <row r="490" spans="1:3" x14ac:dyDescent="0.35">
      <c r="A490" s="171">
        <v>45516</v>
      </c>
      <c r="B490">
        <v>152.06</v>
      </c>
      <c r="C490">
        <v>30550000</v>
      </c>
    </row>
    <row r="491" spans="1:3" x14ac:dyDescent="0.35">
      <c r="A491" s="171">
        <v>45513</v>
      </c>
      <c r="B491">
        <v>151.81</v>
      </c>
      <c r="C491">
        <v>23290000</v>
      </c>
    </row>
    <row r="492" spans="1:3" x14ac:dyDescent="0.35">
      <c r="A492" s="171">
        <v>45512</v>
      </c>
      <c r="B492">
        <v>150.28</v>
      </c>
      <c r="C492">
        <v>51860000</v>
      </c>
    </row>
    <row r="493" spans="1:3" x14ac:dyDescent="0.35">
      <c r="A493" s="171">
        <v>45511</v>
      </c>
      <c r="B493">
        <v>153.86000000000001</v>
      </c>
      <c r="C493">
        <v>32030000</v>
      </c>
    </row>
    <row r="494" spans="1:3" x14ac:dyDescent="0.35">
      <c r="A494" s="171">
        <v>45510</v>
      </c>
      <c r="B494">
        <v>150.32</v>
      </c>
      <c r="C494">
        <v>53510000</v>
      </c>
    </row>
    <row r="495" spans="1:3" x14ac:dyDescent="0.35">
      <c r="A495" s="171">
        <v>45509</v>
      </c>
      <c r="B495">
        <v>149.82</v>
      </c>
      <c r="C495">
        <v>102880000</v>
      </c>
    </row>
    <row r="496" spans="1:3" x14ac:dyDescent="0.35">
      <c r="A496" s="171">
        <v>45506</v>
      </c>
      <c r="B496">
        <v>158.22</v>
      </c>
      <c r="C496">
        <v>72430000</v>
      </c>
    </row>
    <row r="497" spans="1:3" x14ac:dyDescent="0.35">
      <c r="A497" s="171">
        <v>45505</v>
      </c>
      <c r="B497">
        <v>163.06</v>
      </c>
      <c r="C497">
        <v>118340000</v>
      </c>
    </row>
    <row r="498" spans="1:3" x14ac:dyDescent="0.35">
      <c r="A498" s="171">
        <v>45504</v>
      </c>
      <c r="B498">
        <v>165.33</v>
      </c>
      <c r="C498">
        <v>52770000</v>
      </c>
    </row>
    <row r="499" spans="1:3" x14ac:dyDescent="0.35">
      <c r="A499" s="171">
        <v>45503</v>
      </c>
      <c r="B499">
        <v>164.07</v>
      </c>
      <c r="C499">
        <v>42820000</v>
      </c>
    </row>
    <row r="500" spans="1:3" x14ac:dyDescent="0.35">
      <c r="A500" s="171">
        <v>45502</v>
      </c>
      <c r="B500">
        <v>162.87</v>
      </c>
      <c r="C500">
        <v>31750000</v>
      </c>
    </row>
    <row r="501" spans="1:3" x14ac:dyDescent="0.35">
      <c r="A501" s="171">
        <v>45499</v>
      </c>
      <c r="B501">
        <v>162.55000000000001</v>
      </c>
      <c r="C501">
        <v>45640000</v>
      </c>
    </row>
    <row r="502" spans="1:3" x14ac:dyDescent="0.35">
      <c r="A502" s="171">
        <v>45498</v>
      </c>
      <c r="B502">
        <v>157.38999999999999</v>
      </c>
      <c r="C502">
        <v>45160000</v>
      </c>
    </row>
    <row r="503" spans="1:3" x14ac:dyDescent="0.35">
      <c r="A503" s="171">
        <v>45497</v>
      </c>
      <c r="B503">
        <v>160.31</v>
      </c>
      <c r="C503">
        <v>28090000</v>
      </c>
    </row>
    <row r="504" spans="1:3" x14ac:dyDescent="0.35">
      <c r="A504" s="171">
        <v>45496</v>
      </c>
      <c r="B504">
        <v>160.02000000000001</v>
      </c>
      <c r="C504">
        <v>37080000</v>
      </c>
    </row>
    <row r="505" spans="1:3" x14ac:dyDescent="0.35">
      <c r="A505" s="171">
        <v>45495</v>
      </c>
      <c r="B505">
        <v>160.32</v>
      </c>
      <c r="C505">
        <v>40350000</v>
      </c>
    </row>
    <row r="506" spans="1:3" x14ac:dyDescent="0.35">
      <c r="A506" s="171">
        <v>45492</v>
      </c>
      <c r="B506">
        <v>157.77000000000001</v>
      </c>
      <c r="C506">
        <v>77990000</v>
      </c>
    </row>
    <row r="507" spans="1:3" x14ac:dyDescent="0.35">
      <c r="A507" s="171">
        <v>45491</v>
      </c>
      <c r="B507">
        <v>166.36</v>
      </c>
      <c r="C507">
        <v>36570000</v>
      </c>
    </row>
    <row r="508" spans="1:3" x14ac:dyDescent="0.35">
      <c r="A508" s="171">
        <v>45489</v>
      </c>
      <c r="B508">
        <v>167.07</v>
      </c>
      <c r="C508">
        <v>26510000</v>
      </c>
    </row>
    <row r="509" spans="1:3" x14ac:dyDescent="0.35">
      <c r="A509" s="171">
        <v>45488</v>
      </c>
      <c r="B509">
        <v>166.76</v>
      </c>
      <c r="C509">
        <v>32640000</v>
      </c>
    </row>
    <row r="510" spans="1:3" x14ac:dyDescent="0.35">
      <c r="A510" s="171">
        <v>45485</v>
      </c>
      <c r="B510">
        <v>168.69</v>
      </c>
      <c r="C510">
        <v>33310000.000000004</v>
      </c>
    </row>
    <row r="511" spans="1:3" x14ac:dyDescent="0.35">
      <c r="A511" s="171">
        <v>45484</v>
      </c>
      <c r="B511">
        <v>168.92</v>
      </c>
      <c r="C511">
        <v>33990000</v>
      </c>
    </row>
    <row r="512" spans="1:3" x14ac:dyDescent="0.35">
      <c r="A512" s="171">
        <v>45483</v>
      </c>
      <c r="B512">
        <v>167.98</v>
      </c>
      <c r="C512">
        <v>41530000</v>
      </c>
    </row>
    <row r="513" spans="1:3" x14ac:dyDescent="0.35">
      <c r="A513" s="171">
        <v>45482</v>
      </c>
      <c r="B513">
        <v>171.8</v>
      </c>
      <c r="C513">
        <v>25130000</v>
      </c>
    </row>
    <row r="514" spans="1:3" x14ac:dyDescent="0.35">
      <c r="A514" s="171">
        <v>45481</v>
      </c>
      <c r="B514">
        <v>172.28</v>
      </c>
      <c r="C514">
        <v>31480000</v>
      </c>
    </row>
    <row r="515" spans="1:3" x14ac:dyDescent="0.35">
      <c r="A515" s="171">
        <v>45478</v>
      </c>
      <c r="B515">
        <v>174.71</v>
      </c>
      <c r="C515">
        <v>38120000</v>
      </c>
    </row>
    <row r="516" spans="1:3" x14ac:dyDescent="0.35">
      <c r="A516" s="171">
        <v>45477</v>
      </c>
      <c r="B516">
        <v>176.29</v>
      </c>
      <c r="C516">
        <v>29500000</v>
      </c>
    </row>
    <row r="517" spans="1:3" x14ac:dyDescent="0.35">
      <c r="A517" s="171">
        <v>45476</v>
      </c>
      <c r="B517">
        <v>176.37</v>
      </c>
      <c r="C517">
        <v>29090000</v>
      </c>
    </row>
    <row r="518" spans="1:3" x14ac:dyDescent="0.35">
      <c r="A518" s="171">
        <v>45475</v>
      </c>
      <c r="B518">
        <v>174.54</v>
      </c>
      <c r="C518">
        <v>33360000</v>
      </c>
    </row>
    <row r="519" spans="1:3" x14ac:dyDescent="0.35">
      <c r="A519" s="171">
        <v>45474</v>
      </c>
      <c r="B519">
        <v>174.07</v>
      </c>
      <c r="C519">
        <v>27810000</v>
      </c>
    </row>
    <row r="520" spans="1:3" x14ac:dyDescent="0.35">
      <c r="A520" s="171">
        <v>45471</v>
      </c>
      <c r="B520">
        <v>174.01</v>
      </c>
      <c r="C520">
        <v>37520000</v>
      </c>
    </row>
    <row r="521" spans="1:3" x14ac:dyDescent="0.35">
      <c r="A521" s="171">
        <v>45470</v>
      </c>
      <c r="B521">
        <v>174.16</v>
      </c>
      <c r="C521">
        <v>49770000</v>
      </c>
    </row>
    <row r="522" spans="1:3" x14ac:dyDescent="0.35">
      <c r="A522" s="171">
        <v>45469</v>
      </c>
      <c r="B522">
        <v>172.56</v>
      </c>
      <c r="C522">
        <v>44010000</v>
      </c>
    </row>
    <row r="523" spans="1:3" x14ac:dyDescent="0.35">
      <c r="A523" s="171">
        <v>45468</v>
      </c>
      <c r="B523">
        <v>175.68</v>
      </c>
      <c r="C523">
        <v>30600000</v>
      </c>
    </row>
    <row r="524" spans="1:3" x14ac:dyDescent="0.35">
      <c r="A524" s="171">
        <v>45467</v>
      </c>
      <c r="B524">
        <v>177.96</v>
      </c>
      <c r="C524">
        <v>47600000</v>
      </c>
    </row>
    <row r="525" spans="1:3" x14ac:dyDescent="0.35">
      <c r="A525" s="171">
        <v>45464</v>
      </c>
      <c r="B525">
        <v>179.94</v>
      </c>
      <c r="C525">
        <v>65489999.999999993</v>
      </c>
    </row>
    <row r="526" spans="1:3" x14ac:dyDescent="0.35">
      <c r="A526" s="171">
        <v>45463</v>
      </c>
      <c r="B526">
        <v>182.28</v>
      </c>
      <c r="C526">
        <v>38840000</v>
      </c>
    </row>
    <row r="527" spans="1:3" x14ac:dyDescent="0.35">
      <c r="A527" s="171">
        <v>45462</v>
      </c>
      <c r="B527">
        <v>180.02</v>
      </c>
      <c r="C527">
        <v>27480000</v>
      </c>
    </row>
    <row r="528" spans="1:3" x14ac:dyDescent="0.35">
      <c r="A528" s="171">
        <v>45461</v>
      </c>
      <c r="B528">
        <v>181.12</v>
      </c>
      <c r="C528">
        <v>35030000</v>
      </c>
    </row>
    <row r="529" spans="1:3" x14ac:dyDescent="0.35">
      <c r="A529" s="171">
        <v>45457</v>
      </c>
      <c r="B529">
        <v>183.15</v>
      </c>
      <c r="C529">
        <v>28510000</v>
      </c>
    </row>
    <row r="530" spans="1:3" x14ac:dyDescent="0.35">
      <c r="A530" s="171">
        <v>45456</v>
      </c>
      <c r="B530">
        <v>182.56</v>
      </c>
      <c r="C530">
        <v>36670000</v>
      </c>
    </row>
    <row r="531" spans="1:3" x14ac:dyDescent="0.35">
      <c r="A531" s="171">
        <v>45455</v>
      </c>
      <c r="B531">
        <v>182.23</v>
      </c>
      <c r="C531">
        <v>33299999.999999996</v>
      </c>
    </row>
    <row r="532" spans="1:3" x14ac:dyDescent="0.35">
      <c r="A532" s="171">
        <v>45454</v>
      </c>
      <c r="B532">
        <v>181.33</v>
      </c>
      <c r="C532">
        <v>55560000</v>
      </c>
    </row>
    <row r="533" spans="1:3" x14ac:dyDescent="0.35">
      <c r="A533" s="171">
        <v>45453</v>
      </c>
      <c r="B533">
        <v>180.29</v>
      </c>
      <c r="C533">
        <v>74290000</v>
      </c>
    </row>
    <row r="534" spans="1:3" x14ac:dyDescent="0.35">
      <c r="A534" s="171">
        <v>45450</v>
      </c>
      <c r="B534">
        <v>178.9</v>
      </c>
      <c r="C534">
        <v>84320000</v>
      </c>
    </row>
    <row r="535" spans="1:3" x14ac:dyDescent="0.35">
      <c r="A535" s="171">
        <v>45449</v>
      </c>
      <c r="B535">
        <v>172.05</v>
      </c>
      <c r="C535">
        <v>57920000</v>
      </c>
    </row>
    <row r="536" spans="1:3" x14ac:dyDescent="0.35">
      <c r="A536" s="171">
        <v>45448</v>
      </c>
      <c r="B536">
        <v>169.2</v>
      </c>
      <c r="C536">
        <v>60100000</v>
      </c>
    </row>
    <row r="537" spans="1:3" x14ac:dyDescent="0.35">
      <c r="A537" s="171">
        <v>45447</v>
      </c>
      <c r="B537">
        <v>158.94999999999999</v>
      </c>
      <c r="C537">
        <v>125040000</v>
      </c>
    </row>
    <row r="538" spans="1:3" x14ac:dyDescent="0.35">
      <c r="A538" s="171">
        <v>45446</v>
      </c>
      <c r="B538">
        <v>174.25</v>
      </c>
      <c r="C538">
        <v>86400000</v>
      </c>
    </row>
    <row r="539" spans="1:3" x14ac:dyDescent="0.35">
      <c r="A539" s="171">
        <v>45443</v>
      </c>
      <c r="B539">
        <v>167.2</v>
      </c>
      <c r="C539">
        <v>83710000</v>
      </c>
    </row>
    <row r="540" spans="1:3" x14ac:dyDescent="0.35">
      <c r="A540" s="171">
        <v>45442</v>
      </c>
      <c r="B540">
        <v>164.15</v>
      </c>
      <c r="C540">
        <v>108810000</v>
      </c>
    </row>
    <row r="541" spans="1:3" x14ac:dyDescent="0.35">
      <c r="A541" s="171">
        <v>45441</v>
      </c>
      <c r="B541">
        <v>174.25</v>
      </c>
      <c r="C541">
        <v>36580000</v>
      </c>
    </row>
    <row r="542" spans="1:3" x14ac:dyDescent="0.35">
      <c r="A542" s="171">
        <v>45440</v>
      </c>
      <c r="B542">
        <v>174.9</v>
      </c>
      <c r="C542">
        <v>39210000</v>
      </c>
    </row>
    <row r="543" spans="1:3" x14ac:dyDescent="0.35">
      <c r="A543" s="171">
        <v>45439</v>
      </c>
      <c r="B543">
        <v>175.5</v>
      </c>
      <c r="C543">
        <v>30410000</v>
      </c>
    </row>
    <row r="544" spans="1:3" x14ac:dyDescent="0.35">
      <c r="A544" s="171">
        <v>45436</v>
      </c>
      <c r="B544">
        <v>174.85</v>
      </c>
      <c r="C544">
        <v>38670000</v>
      </c>
    </row>
    <row r="545" spans="1:3" x14ac:dyDescent="0.35">
      <c r="A545" s="171">
        <v>45435</v>
      </c>
      <c r="B545">
        <v>175.5</v>
      </c>
      <c r="C545">
        <v>49380000</v>
      </c>
    </row>
    <row r="546" spans="1:3" x14ac:dyDescent="0.35">
      <c r="A546" s="171">
        <v>45434</v>
      </c>
      <c r="B546">
        <v>173.3</v>
      </c>
      <c r="C546">
        <v>42920000</v>
      </c>
    </row>
    <row r="547" spans="1:3" x14ac:dyDescent="0.35">
      <c r="A547" s="171">
        <v>45433</v>
      </c>
      <c r="B547">
        <v>174.35</v>
      </c>
      <c r="C547">
        <v>84830000</v>
      </c>
    </row>
    <row r="548" spans="1:3" x14ac:dyDescent="0.35">
      <c r="A548" s="171">
        <v>45430</v>
      </c>
      <c r="B548">
        <v>167.9</v>
      </c>
      <c r="C548">
        <v>3600000</v>
      </c>
    </row>
    <row r="549" spans="1:3" x14ac:dyDescent="0.35">
      <c r="A549" s="171">
        <v>45429</v>
      </c>
      <c r="B549">
        <v>167.35</v>
      </c>
      <c r="C549">
        <v>39180000</v>
      </c>
    </row>
    <row r="550" spans="1:3" x14ac:dyDescent="0.35">
      <c r="A550" s="171">
        <v>45428</v>
      </c>
      <c r="B550">
        <v>165.9</v>
      </c>
      <c r="C550">
        <v>41130000</v>
      </c>
    </row>
    <row r="551" spans="1:3" x14ac:dyDescent="0.35">
      <c r="A551" s="171">
        <v>45427</v>
      </c>
      <c r="B551">
        <v>165.6</v>
      </c>
      <c r="C551">
        <v>29600000</v>
      </c>
    </row>
    <row r="552" spans="1:3" x14ac:dyDescent="0.35">
      <c r="A552" s="171">
        <v>45426</v>
      </c>
      <c r="B552">
        <v>164.95</v>
      </c>
      <c r="C552">
        <v>46260000</v>
      </c>
    </row>
    <row r="553" spans="1:3" x14ac:dyDescent="0.35">
      <c r="A553" s="171">
        <v>45425</v>
      </c>
      <c r="B553">
        <v>163.85</v>
      </c>
      <c r="C553">
        <v>36560000</v>
      </c>
    </row>
    <row r="554" spans="1:3" x14ac:dyDescent="0.35">
      <c r="A554" s="171">
        <v>45422</v>
      </c>
      <c r="B554">
        <v>162.25</v>
      </c>
      <c r="C554">
        <v>31470000</v>
      </c>
    </row>
    <row r="555" spans="1:3" x14ac:dyDescent="0.35">
      <c r="A555" s="171">
        <v>45421</v>
      </c>
      <c r="B555">
        <v>161.9</v>
      </c>
      <c r="C555">
        <v>30220000</v>
      </c>
    </row>
    <row r="556" spans="1:3" x14ac:dyDescent="0.35">
      <c r="A556" s="171">
        <v>45420</v>
      </c>
      <c r="B556">
        <v>166.05</v>
      </c>
      <c r="C556">
        <v>30130000</v>
      </c>
    </row>
    <row r="557" spans="1:3" x14ac:dyDescent="0.35">
      <c r="A557" s="171">
        <v>45419</v>
      </c>
      <c r="B557">
        <v>164.25</v>
      </c>
      <c r="C557">
        <v>43610000</v>
      </c>
    </row>
    <row r="558" spans="1:3" x14ac:dyDescent="0.35">
      <c r="A558" s="171">
        <v>45418</v>
      </c>
      <c r="B558">
        <v>167.6</v>
      </c>
      <c r="C558">
        <v>37620000</v>
      </c>
    </row>
    <row r="559" spans="1:3" x14ac:dyDescent="0.35">
      <c r="A559" s="171">
        <v>45415</v>
      </c>
      <c r="B559">
        <v>166.5</v>
      </c>
      <c r="C559">
        <v>62570000</v>
      </c>
    </row>
    <row r="560" spans="1:3" x14ac:dyDescent="0.35">
      <c r="A560" s="171">
        <v>45414</v>
      </c>
      <c r="B560">
        <v>167.35</v>
      </c>
      <c r="C560">
        <v>69320000</v>
      </c>
    </row>
    <row r="561" spans="1:3" x14ac:dyDescent="0.35">
      <c r="A561" s="171">
        <v>45412</v>
      </c>
      <c r="B561">
        <v>165</v>
      </c>
      <c r="C561">
        <v>55040000</v>
      </c>
    </row>
    <row r="562" spans="1:3" x14ac:dyDescent="0.35">
      <c r="A562" s="171">
        <v>45411</v>
      </c>
      <c r="B562">
        <v>167.4</v>
      </c>
      <c r="C562">
        <v>44910000</v>
      </c>
    </row>
    <row r="563" spans="1:3" x14ac:dyDescent="0.35">
      <c r="A563" s="171">
        <v>45408</v>
      </c>
      <c r="B563">
        <v>165.8</v>
      </c>
      <c r="C563">
        <v>65360000</v>
      </c>
    </row>
    <row r="564" spans="1:3" x14ac:dyDescent="0.35">
      <c r="A564" s="171">
        <v>45407</v>
      </c>
      <c r="B564">
        <v>167.7</v>
      </c>
      <c r="C564">
        <v>50130000</v>
      </c>
    </row>
    <row r="565" spans="1:3" x14ac:dyDescent="0.35">
      <c r="A565" s="171">
        <v>45406</v>
      </c>
      <c r="B565">
        <v>165.55</v>
      </c>
      <c r="C565">
        <v>59890000</v>
      </c>
    </row>
    <row r="566" spans="1:3" x14ac:dyDescent="0.35">
      <c r="A566" s="171">
        <v>45405</v>
      </c>
      <c r="B566">
        <v>161.15</v>
      </c>
      <c r="C566">
        <v>30300000</v>
      </c>
    </row>
    <row r="567" spans="1:3" x14ac:dyDescent="0.35">
      <c r="A567" s="171">
        <v>45404</v>
      </c>
      <c r="B567">
        <v>161.85</v>
      </c>
      <c r="C567">
        <v>39300000</v>
      </c>
    </row>
    <row r="568" spans="1:3" x14ac:dyDescent="0.35">
      <c r="A568" s="171">
        <v>45401</v>
      </c>
      <c r="B568">
        <v>162.1</v>
      </c>
      <c r="C568">
        <v>60080000</v>
      </c>
    </row>
    <row r="569" spans="1:3" x14ac:dyDescent="0.35">
      <c r="A569" s="171">
        <v>45400</v>
      </c>
      <c r="B569">
        <v>160.05000000000001</v>
      </c>
      <c r="C569">
        <v>68090000</v>
      </c>
    </row>
    <row r="570" spans="1:3" x14ac:dyDescent="0.35">
      <c r="A570" s="171">
        <v>45398</v>
      </c>
      <c r="B570">
        <v>160.05000000000001</v>
      </c>
      <c r="C570">
        <v>41390000</v>
      </c>
    </row>
    <row r="571" spans="1:3" x14ac:dyDescent="0.35">
      <c r="A571" s="171">
        <v>45397</v>
      </c>
      <c r="B571">
        <v>160.85</v>
      </c>
      <c r="C571">
        <v>66430000.000000007</v>
      </c>
    </row>
    <row r="572" spans="1:3" x14ac:dyDescent="0.35">
      <c r="A572" s="171">
        <v>45394</v>
      </c>
      <c r="B572">
        <v>163.5</v>
      </c>
      <c r="C572">
        <v>55320000</v>
      </c>
    </row>
    <row r="573" spans="1:3" x14ac:dyDescent="0.35">
      <c r="A573" s="171">
        <v>45392</v>
      </c>
      <c r="B573">
        <v>165.05</v>
      </c>
      <c r="C573">
        <v>64129999.999999993</v>
      </c>
    </row>
    <row r="574" spans="1:3" x14ac:dyDescent="0.35">
      <c r="A574" s="171">
        <v>45391</v>
      </c>
      <c r="B574">
        <v>166</v>
      </c>
      <c r="C574">
        <v>63880000</v>
      </c>
    </row>
    <row r="575" spans="1:3" x14ac:dyDescent="0.35">
      <c r="A575" s="171">
        <v>45390</v>
      </c>
      <c r="B575">
        <v>165.2</v>
      </c>
      <c r="C575">
        <v>48260000</v>
      </c>
    </row>
    <row r="576" spans="1:3" x14ac:dyDescent="0.35">
      <c r="A576" s="171">
        <v>45387</v>
      </c>
      <c r="B576">
        <v>163.35</v>
      </c>
      <c r="C576">
        <v>44670000</v>
      </c>
    </row>
    <row r="577" spans="1:3" x14ac:dyDescent="0.35">
      <c r="A577" s="171">
        <v>45386</v>
      </c>
      <c r="B577">
        <v>163.4</v>
      </c>
      <c r="C577">
        <v>61090000</v>
      </c>
    </row>
    <row r="578" spans="1:3" x14ac:dyDescent="0.35">
      <c r="A578" s="171">
        <v>45385</v>
      </c>
      <c r="B578">
        <v>163.65</v>
      </c>
      <c r="C578">
        <v>50940000</v>
      </c>
    </row>
    <row r="579" spans="1:3" x14ac:dyDescent="0.35">
      <c r="A579" s="171">
        <v>45384</v>
      </c>
      <c r="B579">
        <v>164.65</v>
      </c>
      <c r="C579">
        <v>69530000</v>
      </c>
    </row>
    <row r="580" spans="1:3" x14ac:dyDescent="0.35">
      <c r="A580" s="171">
        <v>45383</v>
      </c>
      <c r="B580">
        <v>163.15</v>
      </c>
      <c r="C580">
        <v>84580000</v>
      </c>
    </row>
    <row r="581" spans="1:3" x14ac:dyDescent="0.35">
      <c r="A581" s="171">
        <v>45379</v>
      </c>
      <c r="B581">
        <v>155.85</v>
      </c>
      <c r="C581">
        <v>62580000</v>
      </c>
    </row>
    <row r="582" spans="1:3" x14ac:dyDescent="0.35">
      <c r="A582" s="171">
        <v>45378</v>
      </c>
      <c r="B582">
        <v>152.69999999999999</v>
      </c>
      <c r="C582">
        <v>35330000</v>
      </c>
    </row>
    <row r="583" spans="1:3" x14ac:dyDescent="0.35">
      <c r="A583" s="171">
        <v>45377</v>
      </c>
      <c r="B583">
        <v>152.4</v>
      </c>
      <c r="C583">
        <v>52970000</v>
      </c>
    </row>
    <row r="584" spans="1:3" x14ac:dyDescent="0.35">
      <c r="A584" s="171">
        <v>45373</v>
      </c>
      <c r="B584">
        <v>151.80000000000001</v>
      </c>
      <c r="C584">
        <v>68240000</v>
      </c>
    </row>
    <row r="585" spans="1:3" x14ac:dyDescent="0.35">
      <c r="A585" s="171">
        <v>45372</v>
      </c>
      <c r="B585">
        <v>150.1</v>
      </c>
      <c r="C585">
        <v>84230000</v>
      </c>
    </row>
    <row r="586" spans="1:3" x14ac:dyDescent="0.35">
      <c r="A586" s="171">
        <v>45371</v>
      </c>
      <c r="B586">
        <v>145.65</v>
      </c>
      <c r="C586">
        <v>77550000</v>
      </c>
    </row>
    <row r="587" spans="1:3" x14ac:dyDescent="0.35">
      <c r="A587" s="171">
        <v>45370</v>
      </c>
      <c r="B587">
        <v>148.75</v>
      </c>
      <c r="C587">
        <v>105000000</v>
      </c>
    </row>
    <row r="588" spans="1:3" x14ac:dyDescent="0.35">
      <c r="A588" s="171">
        <v>45369</v>
      </c>
      <c r="B588">
        <v>149.69999999999999</v>
      </c>
      <c r="C588">
        <v>166910000</v>
      </c>
    </row>
    <row r="589" spans="1:3" x14ac:dyDescent="0.35">
      <c r="A589" s="171">
        <v>45366</v>
      </c>
      <c r="B589">
        <v>141.69999999999999</v>
      </c>
      <c r="C589">
        <v>68480000</v>
      </c>
    </row>
    <row r="590" spans="1:3" x14ac:dyDescent="0.35">
      <c r="A590" s="171">
        <v>45365</v>
      </c>
      <c r="B590">
        <v>142.44999999999999</v>
      </c>
      <c r="C590">
        <v>91960000</v>
      </c>
    </row>
    <row r="591" spans="1:3" x14ac:dyDescent="0.35">
      <c r="A591" s="171">
        <v>45364</v>
      </c>
      <c r="B591">
        <v>143.65</v>
      </c>
      <c r="C591">
        <v>70940000</v>
      </c>
    </row>
    <row r="592" spans="1:3" x14ac:dyDescent="0.35">
      <c r="A592" s="171">
        <v>45363</v>
      </c>
      <c r="B592">
        <v>152.5</v>
      </c>
      <c r="C592">
        <v>34950000</v>
      </c>
    </row>
    <row r="593" spans="1:3" x14ac:dyDescent="0.35">
      <c r="A593" s="171">
        <v>45362</v>
      </c>
      <c r="B593">
        <v>153.44999999999999</v>
      </c>
      <c r="C593">
        <v>54160000</v>
      </c>
    </row>
    <row r="594" spans="1:3" x14ac:dyDescent="0.35">
      <c r="A594" s="171">
        <v>45358</v>
      </c>
      <c r="B594">
        <v>157.25</v>
      </c>
      <c r="C594">
        <v>124850000</v>
      </c>
    </row>
    <row r="595" spans="1:3" x14ac:dyDescent="0.35">
      <c r="A595" s="171">
        <v>45357</v>
      </c>
      <c r="B595">
        <v>151.6</v>
      </c>
      <c r="C595">
        <v>51780000</v>
      </c>
    </row>
    <row r="596" spans="1:3" x14ac:dyDescent="0.35">
      <c r="A596" s="171">
        <v>45356</v>
      </c>
      <c r="B596">
        <v>151.85</v>
      </c>
      <c r="C596">
        <v>37170000</v>
      </c>
    </row>
    <row r="597" spans="1:3" x14ac:dyDescent="0.35">
      <c r="A597" s="171">
        <v>45355</v>
      </c>
      <c r="B597">
        <v>153.1</v>
      </c>
      <c r="C597">
        <v>67580000</v>
      </c>
    </row>
    <row r="598" spans="1:3" x14ac:dyDescent="0.35">
      <c r="A598" s="171">
        <v>45353</v>
      </c>
      <c r="B598">
        <v>155.25</v>
      </c>
      <c r="C598">
        <v>21640000</v>
      </c>
    </row>
    <row r="599" spans="1:3" x14ac:dyDescent="0.35">
      <c r="A599" s="171">
        <v>45352</v>
      </c>
      <c r="B599">
        <v>149.94999999999999</v>
      </c>
      <c r="C599">
        <v>123710000</v>
      </c>
    </row>
    <row r="600" spans="1:3" x14ac:dyDescent="0.35">
      <c r="A600" s="171">
        <v>45351</v>
      </c>
      <c r="B600">
        <v>140.85</v>
      </c>
      <c r="C600">
        <v>32250000</v>
      </c>
    </row>
    <row r="601" spans="1:3" x14ac:dyDescent="0.35">
      <c r="A601" s="171">
        <v>45350</v>
      </c>
      <c r="B601">
        <v>140.75</v>
      </c>
      <c r="C601">
        <v>20720000</v>
      </c>
    </row>
    <row r="602" spans="1:3" x14ac:dyDescent="0.35">
      <c r="A602" s="171">
        <v>45349</v>
      </c>
      <c r="B602">
        <v>144.19999999999999</v>
      </c>
      <c r="C602">
        <v>24120000</v>
      </c>
    </row>
    <row r="603" spans="1:3" x14ac:dyDescent="0.35">
      <c r="A603" s="171">
        <v>45348</v>
      </c>
      <c r="B603">
        <v>142.65</v>
      </c>
      <c r="C603">
        <v>22570000</v>
      </c>
    </row>
    <row r="604" spans="1:3" x14ac:dyDescent="0.35">
      <c r="A604" s="171">
        <v>45345</v>
      </c>
      <c r="B604">
        <v>145.44999999999999</v>
      </c>
      <c r="C604">
        <v>28410000</v>
      </c>
    </row>
    <row r="605" spans="1:3" x14ac:dyDescent="0.35">
      <c r="A605" s="171">
        <v>45344</v>
      </c>
      <c r="B605">
        <v>145.9</v>
      </c>
      <c r="C605">
        <v>46730000</v>
      </c>
    </row>
    <row r="606" spans="1:3" x14ac:dyDescent="0.35">
      <c r="A606" s="171">
        <v>45343</v>
      </c>
      <c r="B606">
        <v>143.9</v>
      </c>
      <c r="C606">
        <v>88000000</v>
      </c>
    </row>
    <row r="607" spans="1:3" x14ac:dyDescent="0.35">
      <c r="A607" s="171">
        <v>45342</v>
      </c>
      <c r="B607">
        <v>141.05000000000001</v>
      </c>
      <c r="C607">
        <v>24290000</v>
      </c>
    </row>
    <row r="608" spans="1:3" x14ac:dyDescent="0.35">
      <c r="A608" s="171">
        <v>45341</v>
      </c>
      <c r="B608">
        <v>141.94999999999999</v>
      </c>
      <c r="C608">
        <v>16970000</v>
      </c>
    </row>
    <row r="609" spans="1:3" x14ac:dyDescent="0.35">
      <c r="A609" s="171">
        <v>45338</v>
      </c>
      <c r="B609">
        <v>142.30000000000001</v>
      </c>
      <c r="C609">
        <v>22320000</v>
      </c>
    </row>
    <row r="610" spans="1:3" x14ac:dyDescent="0.35">
      <c r="A610" s="171">
        <v>45337</v>
      </c>
      <c r="B610">
        <v>141.19999999999999</v>
      </c>
      <c r="C610">
        <v>31590000</v>
      </c>
    </row>
    <row r="611" spans="1:3" x14ac:dyDescent="0.35">
      <c r="A611" s="171">
        <v>45336</v>
      </c>
      <c r="B611">
        <v>141.19999999999999</v>
      </c>
      <c r="C611">
        <v>29140000</v>
      </c>
    </row>
    <row r="612" spans="1:3" x14ac:dyDescent="0.35">
      <c r="A612" s="171">
        <v>45335</v>
      </c>
      <c r="B612">
        <v>137.85</v>
      </c>
      <c r="C612">
        <v>39160000</v>
      </c>
    </row>
    <row r="613" spans="1:3" x14ac:dyDescent="0.35">
      <c r="A613" s="171">
        <v>45334</v>
      </c>
      <c r="B613">
        <v>137.4</v>
      </c>
      <c r="C613">
        <v>36480000</v>
      </c>
    </row>
    <row r="614" spans="1:3" x14ac:dyDescent="0.35">
      <c r="A614" s="171">
        <v>45331</v>
      </c>
      <c r="B614">
        <v>141.30000000000001</v>
      </c>
      <c r="C614">
        <v>35960000</v>
      </c>
    </row>
    <row r="615" spans="1:3" x14ac:dyDescent="0.35">
      <c r="A615" s="171">
        <v>45330</v>
      </c>
      <c r="B615">
        <v>143.65</v>
      </c>
      <c r="C615">
        <v>39000000</v>
      </c>
    </row>
    <row r="616" spans="1:3" x14ac:dyDescent="0.35">
      <c r="A616" s="171">
        <v>45329</v>
      </c>
      <c r="B616">
        <v>144.4</v>
      </c>
      <c r="C616">
        <v>61520000</v>
      </c>
    </row>
    <row r="617" spans="1:3" x14ac:dyDescent="0.35">
      <c r="A617" s="171">
        <v>45328</v>
      </c>
      <c r="B617">
        <v>144.65</v>
      </c>
      <c r="C617">
        <v>53190000</v>
      </c>
    </row>
    <row r="618" spans="1:3" x14ac:dyDescent="0.35">
      <c r="A618" s="171">
        <v>45327</v>
      </c>
      <c r="B618">
        <v>141.55000000000001</v>
      </c>
      <c r="C618">
        <v>80740000</v>
      </c>
    </row>
    <row r="619" spans="1:3" x14ac:dyDescent="0.35">
      <c r="A619" s="171">
        <v>45324</v>
      </c>
      <c r="B619">
        <v>138.69999999999999</v>
      </c>
      <c r="C619">
        <v>69300000</v>
      </c>
    </row>
    <row r="620" spans="1:3" x14ac:dyDescent="0.35">
      <c r="A620" s="171">
        <v>45323</v>
      </c>
      <c r="B620">
        <v>134.80000000000001</v>
      </c>
      <c r="C620">
        <v>31700000</v>
      </c>
    </row>
    <row r="621" spans="1:3" x14ac:dyDescent="0.35">
      <c r="A621" s="171">
        <v>45322</v>
      </c>
      <c r="B621">
        <v>135.94999999999999</v>
      </c>
      <c r="C621">
        <v>36080000</v>
      </c>
    </row>
    <row r="622" spans="1:3" x14ac:dyDescent="0.35">
      <c r="A622" s="171">
        <v>45321</v>
      </c>
      <c r="B622">
        <v>134.69999999999999</v>
      </c>
      <c r="C622">
        <v>35700000</v>
      </c>
    </row>
    <row r="623" spans="1:3" x14ac:dyDescent="0.35">
      <c r="A623" s="171">
        <v>45320</v>
      </c>
      <c r="B623">
        <v>135</v>
      </c>
      <c r="C623">
        <v>29750000</v>
      </c>
    </row>
    <row r="624" spans="1:3" x14ac:dyDescent="0.35">
      <c r="A624" s="171">
        <v>45316</v>
      </c>
      <c r="B624">
        <v>133.75</v>
      </c>
      <c r="C624">
        <v>61360000</v>
      </c>
    </row>
    <row r="625" spans="1:3" x14ac:dyDescent="0.35">
      <c r="A625" s="171">
        <v>45315</v>
      </c>
      <c r="B625">
        <v>135.15</v>
      </c>
      <c r="C625">
        <v>39340000</v>
      </c>
    </row>
    <row r="626" spans="1:3" x14ac:dyDescent="0.35">
      <c r="A626" s="171">
        <v>45314</v>
      </c>
      <c r="B626">
        <v>130.1</v>
      </c>
      <c r="C626">
        <v>35370000</v>
      </c>
    </row>
    <row r="627" spans="1:3" x14ac:dyDescent="0.35">
      <c r="A627" s="171">
        <v>45311</v>
      </c>
      <c r="B627">
        <v>133.94999999999999</v>
      </c>
      <c r="C627">
        <v>16579999.999999998</v>
      </c>
    </row>
    <row r="628" spans="1:3" x14ac:dyDescent="0.35">
      <c r="A628" s="171">
        <v>45310</v>
      </c>
      <c r="B628">
        <v>134.25</v>
      </c>
      <c r="C628">
        <v>32650000</v>
      </c>
    </row>
    <row r="629" spans="1:3" x14ac:dyDescent="0.35">
      <c r="A629" s="171">
        <v>45309</v>
      </c>
      <c r="B629">
        <v>131</v>
      </c>
      <c r="C629">
        <v>45270000</v>
      </c>
    </row>
    <row r="630" spans="1:3" x14ac:dyDescent="0.35">
      <c r="A630" s="171">
        <v>45308</v>
      </c>
      <c r="B630">
        <v>131.65</v>
      </c>
      <c r="C630">
        <v>58980000</v>
      </c>
    </row>
    <row r="631" spans="1:3" x14ac:dyDescent="0.35">
      <c r="A631" s="171">
        <v>45307</v>
      </c>
      <c r="B631">
        <v>137.25</v>
      </c>
      <c r="C631">
        <v>56360000</v>
      </c>
    </row>
    <row r="632" spans="1:3" x14ac:dyDescent="0.35">
      <c r="A632" s="171">
        <v>45306</v>
      </c>
      <c r="B632">
        <v>134.9</v>
      </c>
      <c r="C632">
        <v>34160000</v>
      </c>
    </row>
    <row r="633" spans="1:3" x14ac:dyDescent="0.35">
      <c r="A633" s="171">
        <v>45303</v>
      </c>
      <c r="B633">
        <v>135.30000000000001</v>
      </c>
      <c r="C633">
        <v>32880000.000000004</v>
      </c>
    </row>
    <row r="634" spans="1:3" x14ac:dyDescent="0.35">
      <c r="A634" s="171">
        <v>45302</v>
      </c>
      <c r="B634">
        <v>134.9</v>
      </c>
      <c r="C634">
        <v>23110000</v>
      </c>
    </row>
    <row r="635" spans="1:3" x14ac:dyDescent="0.35">
      <c r="A635" s="171">
        <v>45301</v>
      </c>
      <c r="B635">
        <v>134.1</v>
      </c>
      <c r="C635">
        <v>27210000</v>
      </c>
    </row>
    <row r="636" spans="1:3" x14ac:dyDescent="0.35">
      <c r="A636" s="171">
        <v>45300</v>
      </c>
      <c r="B636">
        <v>133.65</v>
      </c>
      <c r="C636">
        <v>30740000</v>
      </c>
    </row>
    <row r="637" spans="1:3" x14ac:dyDescent="0.35">
      <c r="A637" s="171">
        <v>45299</v>
      </c>
      <c r="B637">
        <v>132</v>
      </c>
      <c r="C637">
        <v>39560000</v>
      </c>
    </row>
    <row r="638" spans="1:3" x14ac:dyDescent="0.35">
      <c r="A638" s="171">
        <v>45296</v>
      </c>
      <c r="B638">
        <v>133.65</v>
      </c>
      <c r="C638">
        <v>71330000</v>
      </c>
    </row>
    <row r="639" spans="1:3" x14ac:dyDescent="0.35">
      <c r="A639" s="171">
        <v>45295</v>
      </c>
      <c r="B639">
        <v>134.25</v>
      </c>
      <c r="C639">
        <v>43910000</v>
      </c>
    </row>
    <row r="640" spans="1:3" x14ac:dyDescent="0.35">
      <c r="A640" s="171">
        <v>45294</v>
      </c>
      <c r="B640">
        <v>135.35</v>
      </c>
      <c r="C640">
        <v>45180000</v>
      </c>
    </row>
    <row r="641" spans="1:3" x14ac:dyDescent="0.35">
      <c r="A641" s="171">
        <v>45293</v>
      </c>
      <c r="B641">
        <v>139.6</v>
      </c>
      <c r="C641">
        <v>27760000</v>
      </c>
    </row>
    <row r="642" spans="1:3" x14ac:dyDescent="0.35">
      <c r="A642" s="171">
        <v>45292</v>
      </c>
      <c r="B642">
        <v>139.85</v>
      </c>
      <c r="C642">
        <v>21190000</v>
      </c>
    </row>
    <row r="643" spans="1:3" x14ac:dyDescent="0.35">
      <c r="A643" s="171">
        <v>45289</v>
      </c>
      <c r="B643">
        <v>139.6</v>
      </c>
      <c r="C643">
        <v>49200000</v>
      </c>
    </row>
    <row r="644" spans="1:3" x14ac:dyDescent="0.35">
      <c r="A644" s="171">
        <v>45288</v>
      </c>
      <c r="B644">
        <v>138.15</v>
      </c>
      <c r="C644">
        <v>34660000</v>
      </c>
    </row>
    <row r="645" spans="1:3" x14ac:dyDescent="0.35">
      <c r="A645" s="171">
        <v>45287</v>
      </c>
      <c r="B645">
        <v>137.19999999999999</v>
      </c>
      <c r="C645">
        <v>48100000</v>
      </c>
    </row>
    <row r="646" spans="1:3" x14ac:dyDescent="0.35">
      <c r="A646" s="171">
        <v>45286</v>
      </c>
      <c r="B646">
        <v>135.19999999999999</v>
      </c>
      <c r="C646">
        <v>25940000</v>
      </c>
    </row>
    <row r="647" spans="1:3" x14ac:dyDescent="0.35">
      <c r="A647" s="171">
        <v>45282</v>
      </c>
      <c r="B647">
        <v>133.55000000000001</v>
      </c>
      <c r="C647">
        <v>37360000</v>
      </c>
    </row>
    <row r="648" spans="1:3" x14ac:dyDescent="0.35">
      <c r="A648" s="171">
        <v>45281</v>
      </c>
      <c r="B648">
        <v>131</v>
      </c>
      <c r="C648">
        <v>34910000</v>
      </c>
    </row>
    <row r="649" spans="1:3" x14ac:dyDescent="0.35">
      <c r="A649" s="171">
        <v>45280</v>
      </c>
      <c r="B649">
        <v>129.75</v>
      </c>
      <c r="C649">
        <v>39500000</v>
      </c>
    </row>
    <row r="650" spans="1:3" x14ac:dyDescent="0.35">
      <c r="A650" s="171">
        <v>45279</v>
      </c>
      <c r="B650">
        <v>135.4</v>
      </c>
      <c r="C650">
        <v>27730000</v>
      </c>
    </row>
    <row r="651" spans="1:3" x14ac:dyDescent="0.35">
      <c r="A651" s="171">
        <v>45278</v>
      </c>
      <c r="B651">
        <v>136.6</v>
      </c>
      <c r="C651">
        <v>38460000</v>
      </c>
    </row>
    <row r="652" spans="1:3" x14ac:dyDescent="0.35">
      <c r="A652" s="171">
        <v>45275</v>
      </c>
      <c r="B652">
        <v>136.44999999999999</v>
      </c>
      <c r="C652">
        <v>77380000</v>
      </c>
    </row>
    <row r="653" spans="1:3" x14ac:dyDescent="0.35">
      <c r="A653" s="171">
        <v>45274</v>
      </c>
      <c r="B653">
        <v>132</v>
      </c>
      <c r="C653">
        <v>43370000</v>
      </c>
    </row>
    <row r="654" spans="1:3" x14ac:dyDescent="0.35">
      <c r="A654" s="171">
        <v>45273</v>
      </c>
      <c r="B654">
        <v>131.4</v>
      </c>
      <c r="C654">
        <v>22770000</v>
      </c>
    </row>
    <row r="655" spans="1:3" x14ac:dyDescent="0.35">
      <c r="A655" s="171">
        <v>45272</v>
      </c>
      <c r="B655">
        <v>130.1</v>
      </c>
      <c r="C655">
        <v>30700000</v>
      </c>
    </row>
    <row r="656" spans="1:3" x14ac:dyDescent="0.35">
      <c r="A656" s="171">
        <v>45271</v>
      </c>
      <c r="B656">
        <v>130.05000000000001</v>
      </c>
      <c r="C656">
        <v>24040000</v>
      </c>
    </row>
    <row r="657" spans="1:3" x14ac:dyDescent="0.35">
      <c r="A657" s="171">
        <v>45268</v>
      </c>
      <c r="B657">
        <v>129.19999999999999</v>
      </c>
      <c r="C657">
        <v>34390000</v>
      </c>
    </row>
    <row r="658" spans="1:3" x14ac:dyDescent="0.35">
      <c r="A658" s="171">
        <v>45267</v>
      </c>
      <c r="B658">
        <v>130</v>
      </c>
      <c r="C658">
        <v>34690000</v>
      </c>
    </row>
    <row r="659" spans="1:3" x14ac:dyDescent="0.35">
      <c r="A659" s="171">
        <v>45266</v>
      </c>
      <c r="B659">
        <v>131.85</v>
      </c>
      <c r="C659">
        <v>40750000</v>
      </c>
    </row>
    <row r="660" spans="1:3" x14ac:dyDescent="0.35">
      <c r="A660" s="171">
        <v>45265</v>
      </c>
      <c r="B660">
        <v>131.6</v>
      </c>
      <c r="C660">
        <v>35190000</v>
      </c>
    </row>
    <row r="661" spans="1:3" x14ac:dyDescent="0.35">
      <c r="A661" s="171">
        <v>45264</v>
      </c>
      <c r="B661">
        <v>131</v>
      </c>
      <c r="C661">
        <v>41230000</v>
      </c>
    </row>
    <row r="662" spans="1:3" x14ac:dyDescent="0.35">
      <c r="A662" s="171">
        <v>45261</v>
      </c>
      <c r="B662">
        <v>130</v>
      </c>
      <c r="C662">
        <v>31190000</v>
      </c>
    </row>
    <row r="663" spans="1:3" x14ac:dyDescent="0.35">
      <c r="A663" s="171">
        <v>45260</v>
      </c>
      <c r="B663">
        <v>127.9</v>
      </c>
      <c r="C663">
        <v>40170000</v>
      </c>
    </row>
    <row r="664" spans="1:3" x14ac:dyDescent="0.35">
      <c r="A664" s="171">
        <v>45259</v>
      </c>
      <c r="B664">
        <v>127.75</v>
      </c>
      <c r="C664">
        <v>23090000</v>
      </c>
    </row>
    <row r="665" spans="1:3" x14ac:dyDescent="0.35">
      <c r="A665" s="171">
        <v>45258</v>
      </c>
      <c r="B665">
        <v>126.85</v>
      </c>
      <c r="C665">
        <v>18380000</v>
      </c>
    </row>
    <row r="666" spans="1:3" x14ac:dyDescent="0.35">
      <c r="A666" s="171">
        <v>45254</v>
      </c>
      <c r="B666">
        <v>125.95</v>
      </c>
      <c r="C666">
        <v>14720000</v>
      </c>
    </row>
    <row r="667" spans="1:3" x14ac:dyDescent="0.35">
      <c r="A667" s="171">
        <v>45253</v>
      </c>
      <c r="B667">
        <v>126.7</v>
      </c>
      <c r="C667">
        <v>30740000</v>
      </c>
    </row>
    <row r="668" spans="1:3" x14ac:dyDescent="0.35">
      <c r="A668" s="171">
        <v>45252</v>
      </c>
      <c r="B668">
        <v>126.1</v>
      </c>
      <c r="C668">
        <v>19590000</v>
      </c>
    </row>
    <row r="669" spans="1:3" x14ac:dyDescent="0.35">
      <c r="A669" s="171">
        <v>45251</v>
      </c>
      <c r="B669">
        <v>126.25</v>
      </c>
      <c r="C669">
        <v>29640000</v>
      </c>
    </row>
    <row r="670" spans="1:3" x14ac:dyDescent="0.35">
      <c r="A670" s="171">
        <v>45250</v>
      </c>
      <c r="B670">
        <v>124.35</v>
      </c>
      <c r="C670">
        <v>18780000</v>
      </c>
    </row>
    <row r="671" spans="1:3" x14ac:dyDescent="0.35">
      <c r="A671" s="171">
        <v>45247</v>
      </c>
      <c r="B671">
        <v>125.2</v>
      </c>
      <c r="C671">
        <v>23320000</v>
      </c>
    </row>
    <row r="672" spans="1:3" x14ac:dyDescent="0.35">
      <c r="A672" s="171">
        <v>45246</v>
      </c>
      <c r="B672">
        <v>124.7</v>
      </c>
      <c r="C672">
        <v>30840000</v>
      </c>
    </row>
    <row r="673" spans="1:3" x14ac:dyDescent="0.35">
      <c r="A673" s="171">
        <v>45245</v>
      </c>
      <c r="B673">
        <v>124.05</v>
      </c>
      <c r="C673">
        <v>38340000</v>
      </c>
    </row>
    <row r="674" spans="1:3" x14ac:dyDescent="0.35">
      <c r="A674" s="171">
        <v>45243</v>
      </c>
      <c r="B674">
        <v>121</v>
      </c>
      <c r="C674">
        <v>17950000</v>
      </c>
    </row>
    <row r="675" spans="1:3" x14ac:dyDescent="0.35">
      <c r="A675" s="171">
        <v>45242</v>
      </c>
      <c r="B675">
        <v>120.85</v>
      </c>
      <c r="C675">
        <v>3970000</v>
      </c>
    </row>
    <row r="676" spans="1:3" x14ac:dyDescent="0.35">
      <c r="A676" s="171">
        <v>45240</v>
      </c>
      <c r="B676">
        <v>120.05</v>
      </c>
      <c r="C676">
        <v>23580000</v>
      </c>
    </row>
    <row r="677" spans="1:3" x14ac:dyDescent="0.35">
      <c r="A677" s="171">
        <v>45239</v>
      </c>
      <c r="B677">
        <v>119.65</v>
      </c>
      <c r="C677">
        <v>22980000</v>
      </c>
    </row>
    <row r="678" spans="1:3" x14ac:dyDescent="0.35">
      <c r="A678" s="171">
        <v>45238</v>
      </c>
      <c r="B678">
        <v>119.05</v>
      </c>
      <c r="C678">
        <v>22550000</v>
      </c>
    </row>
    <row r="679" spans="1:3" x14ac:dyDescent="0.35">
      <c r="A679" s="171">
        <v>45237</v>
      </c>
      <c r="B679">
        <v>119.65</v>
      </c>
      <c r="C679">
        <v>25820000</v>
      </c>
    </row>
    <row r="680" spans="1:3" x14ac:dyDescent="0.35">
      <c r="A680" s="171">
        <v>45236</v>
      </c>
      <c r="B680">
        <v>119.4</v>
      </c>
      <c r="C680">
        <v>27880000</v>
      </c>
    </row>
    <row r="681" spans="1:3" x14ac:dyDescent="0.35">
      <c r="A681" s="171">
        <v>45233</v>
      </c>
      <c r="B681">
        <v>117.3</v>
      </c>
      <c r="C681">
        <v>31750000</v>
      </c>
    </row>
    <row r="682" spans="1:3" x14ac:dyDescent="0.35">
      <c r="A682" s="171">
        <v>45232</v>
      </c>
      <c r="B682">
        <v>118.1</v>
      </c>
      <c r="C682">
        <v>72540000</v>
      </c>
    </row>
    <row r="683" spans="1:3" x14ac:dyDescent="0.35">
      <c r="A683" s="171">
        <v>45231</v>
      </c>
      <c r="B683">
        <v>116.6</v>
      </c>
      <c r="C683">
        <v>24720000</v>
      </c>
    </row>
    <row r="684" spans="1:3" x14ac:dyDescent="0.35">
      <c r="A684" s="171">
        <v>45230</v>
      </c>
      <c r="B684">
        <v>118.75</v>
      </c>
      <c r="C684">
        <v>22320000</v>
      </c>
    </row>
    <row r="685" spans="1:3" x14ac:dyDescent="0.35">
      <c r="A685" s="171">
        <v>45229</v>
      </c>
      <c r="B685">
        <v>119.15</v>
      </c>
      <c r="C685">
        <v>18750000</v>
      </c>
    </row>
    <row r="686" spans="1:3" x14ac:dyDescent="0.35">
      <c r="A686" s="171">
        <v>45226</v>
      </c>
      <c r="B686">
        <v>119.9</v>
      </c>
      <c r="C686">
        <v>28420000</v>
      </c>
    </row>
    <row r="687" spans="1:3" x14ac:dyDescent="0.35">
      <c r="A687" s="171">
        <v>45225</v>
      </c>
      <c r="B687">
        <v>119.9</v>
      </c>
      <c r="C687">
        <v>36300000</v>
      </c>
    </row>
    <row r="688" spans="1:3" x14ac:dyDescent="0.35">
      <c r="A688" s="171">
        <v>45224</v>
      </c>
      <c r="B688">
        <v>121.35</v>
      </c>
      <c r="C688">
        <v>27350000</v>
      </c>
    </row>
    <row r="689" spans="1:3" x14ac:dyDescent="0.35">
      <c r="A689" s="171">
        <v>45222</v>
      </c>
      <c r="B689">
        <v>120</v>
      </c>
      <c r="C689">
        <v>30700000</v>
      </c>
    </row>
    <row r="690" spans="1:3" x14ac:dyDescent="0.35">
      <c r="A690" s="171">
        <v>45219</v>
      </c>
      <c r="B690">
        <v>123.1</v>
      </c>
      <c r="C690">
        <v>30750000</v>
      </c>
    </row>
    <row r="691" spans="1:3" x14ac:dyDescent="0.35">
      <c r="A691" s="171">
        <v>45218</v>
      </c>
      <c r="B691">
        <v>126</v>
      </c>
      <c r="C691">
        <v>30940000</v>
      </c>
    </row>
    <row r="692" spans="1:3" x14ac:dyDescent="0.35">
      <c r="A692" s="171">
        <v>45217</v>
      </c>
      <c r="B692">
        <v>127.1</v>
      </c>
      <c r="C692">
        <v>20930000</v>
      </c>
    </row>
    <row r="693" spans="1:3" x14ac:dyDescent="0.35">
      <c r="A693" s="171">
        <v>45216</v>
      </c>
      <c r="B693">
        <v>127.4</v>
      </c>
      <c r="C693">
        <v>24240000</v>
      </c>
    </row>
    <row r="694" spans="1:3" x14ac:dyDescent="0.35">
      <c r="A694" s="171">
        <v>45215</v>
      </c>
      <c r="B694">
        <v>127</v>
      </c>
      <c r="C694">
        <v>23870000</v>
      </c>
    </row>
    <row r="695" spans="1:3" x14ac:dyDescent="0.35">
      <c r="A695" s="171">
        <v>45212</v>
      </c>
      <c r="B695">
        <v>125.05</v>
      </c>
      <c r="C695">
        <v>26910000</v>
      </c>
    </row>
    <row r="696" spans="1:3" x14ac:dyDescent="0.35">
      <c r="A696" s="171">
        <v>45211</v>
      </c>
      <c r="B696">
        <v>125.9</v>
      </c>
      <c r="C696">
        <v>19360000</v>
      </c>
    </row>
    <row r="697" spans="1:3" x14ac:dyDescent="0.35">
      <c r="A697" s="171">
        <v>45210</v>
      </c>
      <c r="B697">
        <v>124.95</v>
      </c>
      <c r="C697">
        <v>24460000</v>
      </c>
    </row>
    <row r="698" spans="1:3" x14ac:dyDescent="0.35">
      <c r="A698" s="171">
        <v>45209</v>
      </c>
      <c r="B698">
        <v>125.3</v>
      </c>
      <c r="C698">
        <v>28750000</v>
      </c>
    </row>
    <row r="699" spans="1:3" x14ac:dyDescent="0.35">
      <c r="A699" s="171">
        <v>45208</v>
      </c>
      <c r="B699">
        <v>123.85</v>
      </c>
      <c r="C699">
        <v>21460000</v>
      </c>
    </row>
    <row r="700" spans="1:3" x14ac:dyDescent="0.35">
      <c r="A700" s="171">
        <v>45205</v>
      </c>
      <c r="B700">
        <v>125.9</v>
      </c>
      <c r="C700">
        <v>21930000</v>
      </c>
    </row>
    <row r="701" spans="1:3" x14ac:dyDescent="0.35">
      <c r="A701" s="171">
        <v>45204</v>
      </c>
      <c r="B701">
        <v>125.25</v>
      </c>
      <c r="C701">
        <v>27060000</v>
      </c>
    </row>
    <row r="702" spans="1:3" x14ac:dyDescent="0.35">
      <c r="A702" s="171">
        <v>45203</v>
      </c>
      <c r="B702">
        <v>125.3</v>
      </c>
      <c r="C702">
        <v>33270000.000000004</v>
      </c>
    </row>
    <row r="703" spans="1:3" x14ac:dyDescent="0.35">
      <c r="A703" s="171">
        <v>45202</v>
      </c>
      <c r="B703">
        <v>128</v>
      </c>
      <c r="C703">
        <v>18610000</v>
      </c>
    </row>
    <row r="704" spans="1:3" x14ac:dyDescent="0.35">
      <c r="A704" s="171">
        <v>45198</v>
      </c>
      <c r="B704">
        <v>128.9</v>
      </c>
      <c r="C704">
        <v>28410000</v>
      </c>
    </row>
    <row r="705" spans="1:3" x14ac:dyDescent="0.35">
      <c r="A705" s="171">
        <v>45197</v>
      </c>
      <c r="B705">
        <v>126.8</v>
      </c>
      <c r="C705">
        <v>29980000</v>
      </c>
    </row>
    <row r="706" spans="1:3" x14ac:dyDescent="0.35">
      <c r="A706" s="171">
        <v>45196</v>
      </c>
      <c r="B706">
        <v>128.15</v>
      </c>
      <c r="C706">
        <v>33280000</v>
      </c>
    </row>
    <row r="707" spans="1:3" x14ac:dyDescent="0.35">
      <c r="A707" s="171">
        <v>45195</v>
      </c>
      <c r="B707">
        <v>128.9</v>
      </c>
      <c r="C707">
        <v>48940000</v>
      </c>
    </row>
    <row r="708" spans="1:3" x14ac:dyDescent="0.35">
      <c r="A708" s="171">
        <v>45194</v>
      </c>
      <c r="B708">
        <v>127.4</v>
      </c>
      <c r="C708">
        <v>23470000</v>
      </c>
    </row>
    <row r="709" spans="1:3" x14ac:dyDescent="0.35">
      <c r="A709" s="171">
        <v>45191</v>
      </c>
      <c r="B709">
        <v>126.75</v>
      </c>
      <c r="C709">
        <v>34060000</v>
      </c>
    </row>
    <row r="710" spans="1:3" x14ac:dyDescent="0.35">
      <c r="A710" s="171">
        <v>45190</v>
      </c>
      <c r="B710">
        <v>127.8</v>
      </c>
      <c r="C710">
        <v>29830000</v>
      </c>
    </row>
    <row r="711" spans="1:3" x14ac:dyDescent="0.35">
      <c r="A711" s="171">
        <v>45189</v>
      </c>
      <c r="B711">
        <v>128.30000000000001</v>
      </c>
      <c r="C711">
        <v>43630000</v>
      </c>
    </row>
    <row r="712" spans="1:3" x14ac:dyDescent="0.35">
      <c r="A712" s="171">
        <v>45187</v>
      </c>
      <c r="B712">
        <v>130.44999999999999</v>
      </c>
      <c r="C712">
        <v>62420000</v>
      </c>
    </row>
    <row r="713" spans="1:3" x14ac:dyDescent="0.35">
      <c r="A713" s="171">
        <v>45184</v>
      </c>
      <c r="B713">
        <v>131.94999999999999</v>
      </c>
      <c r="C713">
        <v>85060000</v>
      </c>
    </row>
    <row r="714" spans="1:3" x14ac:dyDescent="0.35">
      <c r="A714" s="171">
        <v>45183</v>
      </c>
      <c r="B714">
        <v>131.69999999999999</v>
      </c>
      <c r="C714">
        <v>58800000</v>
      </c>
    </row>
    <row r="715" spans="1:3" x14ac:dyDescent="0.35">
      <c r="A715" s="171">
        <v>45182</v>
      </c>
      <c r="B715">
        <v>129.55000000000001</v>
      </c>
      <c r="C715">
        <v>23370000</v>
      </c>
    </row>
    <row r="716" spans="1:3" x14ac:dyDescent="0.35">
      <c r="A716" s="171">
        <v>45181</v>
      </c>
      <c r="B716">
        <v>129</v>
      </c>
      <c r="C716">
        <v>38070000</v>
      </c>
    </row>
    <row r="717" spans="1:3" x14ac:dyDescent="0.35">
      <c r="A717" s="171">
        <v>45180</v>
      </c>
      <c r="B717">
        <v>131.15</v>
      </c>
      <c r="C717">
        <v>33380000.000000004</v>
      </c>
    </row>
    <row r="718" spans="1:3" x14ac:dyDescent="0.35">
      <c r="A718" s="171">
        <v>45177</v>
      </c>
      <c r="B718">
        <v>129.5</v>
      </c>
      <c r="C718">
        <v>34310000</v>
      </c>
    </row>
    <row r="719" spans="1:3" x14ac:dyDescent="0.35">
      <c r="A719" s="171">
        <v>45176</v>
      </c>
      <c r="B719">
        <v>130.15</v>
      </c>
      <c r="C719">
        <v>30270000</v>
      </c>
    </row>
    <row r="720" spans="1:3" x14ac:dyDescent="0.35">
      <c r="A720" s="171">
        <v>45175</v>
      </c>
      <c r="B720">
        <v>129.6</v>
      </c>
      <c r="C720">
        <v>36060000</v>
      </c>
    </row>
    <row r="721" spans="1:3" x14ac:dyDescent="0.35">
      <c r="A721" s="171">
        <v>45174</v>
      </c>
      <c r="B721">
        <v>131.69999999999999</v>
      </c>
      <c r="C721">
        <v>36470000</v>
      </c>
    </row>
    <row r="722" spans="1:3" x14ac:dyDescent="0.35">
      <c r="A722" s="171">
        <v>45173</v>
      </c>
      <c r="B722">
        <v>131.75</v>
      </c>
      <c r="C722">
        <v>68530000</v>
      </c>
    </row>
    <row r="723" spans="1:3" x14ac:dyDescent="0.35">
      <c r="A723" s="171">
        <v>45170</v>
      </c>
      <c r="B723">
        <v>127.05</v>
      </c>
      <c r="C723">
        <v>76460000</v>
      </c>
    </row>
    <row r="724" spans="1:3" x14ac:dyDescent="0.35">
      <c r="A724" s="171">
        <v>45169</v>
      </c>
      <c r="B724">
        <v>122.9</v>
      </c>
      <c r="C724">
        <v>60630000</v>
      </c>
    </row>
    <row r="725" spans="1:3" x14ac:dyDescent="0.35">
      <c r="A725" s="171">
        <v>45168</v>
      </c>
      <c r="B725">
        <v>122.1</v>
      </c>
      <c r="C725">
        <v>51470000</v>
      </c>
    </row>
    <row r="726" spans="1:3" x14ac:dyDescent="0.35">
      <c r="A726" s="171">
        <v>45167</v>
      </c>
      <c r="B726">
        <v>119.55</v>
      </c>
      <c r="C726">
        <v>36040000</v>
      </c>
    </row>
    <row r="727" spans="1:3" x14ac:dyDescent="0.35">
      <c r="A727" s="171">
        <v>45166</v>
      </c>
      <c r="B727">
        <v>117.6</v>
      </c>
      <c r="C727">
        <v>19220000</v>
      </c>
    </row>
    <row r="728" spans="1:3" x14ac:dyDescent="0.35">
      <c r="A728" s="171">
        <v>45163</v>
      </c>
      <c r="B728">
        <v>116.9</v>
      </c>
      <c r="C728">
        <v>23690000</v>
      </c>
    </row>
    <row r="729" spans="1:3" x14ac:dyDescent="0.35">
      <c r="A729" s="171">
        <v>45162</v>
      </c>
      <c r="B729">
        <v>118.25</v>
      </c>
      <c r="C729">
        <v>27100000</v>
      </c>
    </row>
    <row r="730" spans="1:3" x14ac:dyDescent="0.35">
      <c r="A730" s="171">
        <v>45161</v>
      </c>
      <c r="B730">
        <v>118.95</v>
      </c>
      <c r="C730">
        <v>43740000</v>
      </c>
    </row>
    <row r="731" spans="1:3" x14ac:dyDescent="0.35">
      <c r="A731" s="171">
        <v>45160</v>
      </c>
      <c r="B731">
        <v>117.55</v>
      </c>
      <c r="C731">
        <v>17340000</v>
      </c>
    </row>
    <row r="732" spans="1:3" x14ac:dyDescent="0.35">
      <c r="A732" s="171">
        <v>45159</v>
      </c>
      <c r="B732">
        <v>116.9</v>
      </c>
      <c r="C732">
        <v>22630000</v>
      </c>
    </row>
    <row r="733" spans="1:3" x14ac:dyDescent="0.35">
      <c r="A733" s="171">
        <v>45156</v>
      </c>
      <c r="B733">
        <v>115.8</v>
      </c>
      <c r="C733">
        <v>30380000</v>
      </c>
    </row>
    <row r="734" spans="1:3" x14ac:dyDescent="0.35">
      <c r="A734" s="171">
        <v>45155</v>
      </c>
      <c r="B734">
        <v>116.05</v>
      </c>
      <c r="C734">
        <v>28460000</v>
      </c>
    </row>
    <row r="735" spans="1:3" x14ac:dyDescent="0.35">
      <c r="A735" s="171">
        <v>45154</v>
      </c>
      <c r="B735">
        <v>115.95</v>
      </c>
      <c r="C735">
        <v>31250000</v>
      </c>
    </row>
    <row r="736" spans="1:3" x14ac:dyDescent="0.35">
      <c r="A736" s="171">
        <v>45152</v>
      </c>
      <c r="B736">
        <v>118.15</v>
      </c>
      <c r="C736">
        <v>33100000</v>
      </c>
    </row>
    <row r="737" spans="1:3" x14ac:dyDescent="0.35">
      <c r="A737" s="171">
        <v>45149</v>
      </c>
      <c r="B737">
        <v>120.3</v>
      </c>
      <c r="C737">
        <v>26340000</v>
      </c>
    </row>
    <row r="738" spans="1:3" x14ac:dyDescent="0.35">
      <c r="A738" s="171">
        <v>45148</v>
      </c>
      <c r="B738">
        <v>120</v>
      </c>
      <c r="C738">
        <v>24440000</v>
      </c>
    </row>
    <row r="739" spans="1:3" x14ac:dyDescent="0.35">
      <c r="A739" s="171">
        <v>45147</v>
      </c>
      <c r="B739">
        <v>120.2</v>
      </c>
      <c r="C739">
        <v>34150000</v>
      </c>
    </row>
    <row r="740" spans="1:3" x14ac:dyDescent="0.35">
      <c r="A740" s="171">
        <v>45146</v>
      </c>
      <c r="B740">
        <v>118.15</v>
      </c>
      <c r="C740">
        <v>21280000</v>
      </c>
    </row>
    <row r="741" spans="1:3" x14ac:dyDescent="0.35">
      <c r="A741" s="171">
        <v>45145</v>
      </c>
      <c r="B741">
        <v>118.85</v>
      </c>
      <c r="C741">
        <v>20710000</v>
      </c>
    </row>
    <row r="742" spans="1:3" x14ac:dyDescent="0.35">
      <c r="A742" s="171">
        <v>45142</v>
      </c>
      <c r="B742">
        <v>119</v>
      </c>
      <c r="C742">
        <v>22300000</v>
      </c>
    </row>
    <row r="743" spans="1:3" x14ac:dyDescent="0.35">
      <c r="A743" s="171">
        <v>45141</v>
      </c>
      <c r="B743">
        <v>118.2</v>
      </c>
      <c r="C743">
        <v>34620000</v>
      </c>
    </row>
    <row r="744" spans="1:3" x14ac:dyDescent="0.35">
      <c r="A744" s="171">
        <v>45140</v>
      </c>
      <c r="B744">
        <v>118.95</v>
      </c>
      <c r="C744">
        <v>54950000</v>
      </c>
    </row>
    <row r="745" spans="1:3" x14ac:dyDescent="0.35">
      <c r="A745" s="171">
        <v>45139</v>
      </c>
      <c r="B745">
        <v>123.2</v>
      </c>
      <c r="C745">
        <v>27860000</v>
      </c>
    </row>
    <row r="746" spans="1:3" x14ac:dyDescent="0.35">
      <c r="A746" s="171">
        <v>45138</v>
      </c>
      <c r="B746">
        <v>123.15</v>
      </c>
      <c r="C746">
        <v>52330000</v>
      </c>
    </row>
    <row r="747" spans="1:3" x14ac:dyDescent="0.35">
      <c r="A747" s="171">
        <v>45135</v>
      </c>
      <c r="B747">
        <v>120.6</v>
      </c>
      <c r="C747">
        <v>34000000</v>
      </c>
    </row>
    <row r="748" spans="1:3" x14ac:dyDescent="0.35">
      <c r="A748" s="171">
        <v>45134</v>
      </c>
      <c r="B748">
        <v>119.8</v>
      </c>
      <c r="C748">
        <v>39660000</v>
      </c>
    </row>
    <row r="749" spans="1:3" x14ac:dyDescent="0.35">
      <c r="A749" s="171">
        <v>45133</v>
      </c>
      <c r="B749">
        <v>119.95</v>
      </c>
      <c r="C749">
        <v>29720000</v>
      </c>
    </row>
    <row r="750" spans="1:3" x14ac:dyDescent="0.35">
      <c r="A750" s="171">
        <v>45132</v>
      </c>
      <c r="B750">
        <v>119.25</v>
      </c>
      <c r="C750">
        <v>88040000</v>
      </c>
    </row>
    <row r="751" spans="1:3" x14ac:dyDescent="0.35">
      <c r="A751" s="171">
        <v>45131</v>
      </c>
      <c r="B751">
        <v>115.5</v>
      </c>
      <c r="C751">
        <v>38110000</v>
      </c>
    </row>
    <row r="752" spans="1:3" x14ac:dyDescent="0.35">
      <c r="A752" s="171">
        <v>45128</v>
      </c>
      <c r="B752">
        <v>116.6</v>
      </c>
      <c r="C752">
        <v>31550000</v>
      </c>
    </row>
    <row r="753" spans="1:3" x14ac:dyDescent="0.35">
      <c r="A753" s="171">
        <v>45127</v>
      </c>
      <c r="B753">
        <v>116.95</v>
      </c>
      <c r="C753">
        <v>22300000</v>
      </c>
    </row>
    <row r="754" spans="1:3" x14ac:dyDescent="0.35">
      <c r="A754" s="171">
        <v>45126</v>
      </c>
      <c r="B754">
        <v>116.7</v>
      </c>
      <c r="C754">
        <v>17220000</v>
      </c>
    </row>
    <row r="755" spans="1:3" x14ac:dyDescent="0.35">
      <c r="A755" s="171">
        <v>45125</v>
      </c>
      <c r="B755">
        <v>116.6</v>
      </c>
      <c r="C755">
        <v>23430000</v>
      </c>
    </row>
    <row r="756" spans="1:3" x14ac:dyDescent="0.35">
      <c r="A756" s="171">
        <v>45124</v>
      </c>
      <c r="B756">
        <v>117.75</v>
      </c>
      <c r="C756">
        <v>49120000</v>
      </c>
    </row>
    <row r="757" spans="1:3" x14ac:dyDescent="0.35">
      <c r="A757" s="171">
        <v>45121</v>
      </c>
      <c r="B757">
        <v>117.15</v>
      </c>
      <c r="C757">
        <v>34520000</v>
      </c>
    </row>
    <row r="758" spans="1:3" x14ac:dyDescent="0.35">
      <c r="A758" s="171">
        <v>45120</v>
      </c>
      <c r="B758">
        <v>114.85</v>
      </c>
      <c r="C758">
        <v>44850000</v>
      </c>
    </row>
    <row r="759" spans="1:3" x14ac:dyDescent="0.35">
      <c r="A759" s="171">
        <v>45119</v>
      </c>
      <c r="B759">
        <v>114.7</v>
      </c>
      <c r="C759">
        <v>32770000.000000004</v>
      </c>
    </row>
    <row r="760" spans="1:3" x14ac:dyDescent="0.35">
      <c r="A760" s="171">
        <v>45118</v>
      </c>
      <c r="B760">
        <v>115.15</v>
      </c>
      <c r="C760">
        <v>38000000</v>
      </c>
    </row>
    <row r="761" spans="1:3" x14ac:dyDescent="0.35">
      <c r="A761" s="171">
        <v>45117</v>
      </c>
      <c r="B761">
        <v>115.3</v>
      </c>
      <c r="C761">
        <v>60650000</v>
      </c>
    </row>
    <row r="762" spans="1:3" x14ac:dyDescent="0.35">
      <c r="A762" s="171">
        <v>45114</v>
      </c>
      <c r="B762">
        <v>111.6</v>
      </c>
      <c r="C762">
        <v>30030000</v>
      </c>
    </row>
    <row r="763" spans="1:3" x14ac:dyDescent="0.35">
      <c r="A763" s="171">
        <v>45113</v>
      </c>
      <c r="B763">
        <v>112.65</v>
      </c>
      <c r="C763">
        <v>34320000</v>
      </c>
    </row>
    <row r="764" spans="1:3" x14ac:dyDescent="0.35">
      <c r="A764" s="171">
        <v>45112</v>
      </c>
      <c r="B764">
        <v>112.95</v>
      </c>
      <c r="C764">
        <v>27880000</v>
      </c>
    </row>
    <row r="765" spans="1:3" x14ac:dyDescent="0.35">
      <c r="A765" s="171">
        <v>45111</v>
      </c>
      <c r="B765">
        <v>112.4</v>
      </c>
      <c r="C765">
        <v>25080000</v>
      </c>
    </row>
    <row r="766" spans="1:3" x14ac:dyDescent="0.35">
      <c r="A766" s="171">
        <v>45110</v>
      </c>
      <c r="B766">
        <v>113.1</v>
      </c>
      <c r="C766">
        <v>30980000</v>
      </c>
    </row>
    <row r="767" spans="1:3" x14ac:dyDescent="0.35">
      <c r="A767" s="171">
        <v>45107</v>
      </c>
      <c r="B767">
        <v>112</v>
      </c>
      <c r="C767">
        <v>26740000</v>
      </c>
    </row>
    <row r="768" spans="1:3" x14ac:dyDescent="0.35">
      <c r="A768" s="171">
        <v>45105</v>
      </c>
      <c r="B768">
        <v>111.55</v>
      </c>
      <c r="C768">
        <v>23900000</v>
      </c>
    </row>
    <row r="769" spans="1:3" x14ac:dyDescent="0.35">
      <c r="A769" s="171">
        <v>45104</v>
      </c>
      <c r="B769">
        <v>110.75</v>
      </c>
      <c r="C769">
        <v>24130000</v>
      </c>
    </row>
    <row r="770" spans="1:3" x14ac:dyDescent="0.35">
      <c r="A770" s="171">
        <v>45103</v>
      </c>
      <c r="B770">
        <v>109.85</v>
      </c>
      <c r="C770">
        <v>25330000</v>
      </c>
    </row>
    <row r="771" spans="1:3" x14ac:dyDescent="0.35">
      <c r="A771" s="171">
        <v>45100</v>
      </c>
      <c r="B771">
        <v>109.6</v>
      </c>
      <c r="C771">
        <v>22190000</v>
      </c>
    </row>
    <row r="772" spans="1:3" x14ac:dyDescent="0.35">
      <c r="A772" s="171">
        <v>45099</v>
      </c>
      <c r="B772">
        <v>111.1</v>
      </c>
      <c r="C772">
        <v>34770000</v>
      </c>
    </row>
    <row r="773" spans="1:3" x14ac:dyDescent="0.35">
      <c r="A773" s="171">
        <v>45098</v>
      </c>
      <c r="B773">
        <v>113.9</v>
      </c>
      <c r="C773">
        <v>35630000</v>
      </c>
    </row>
    <row r="774" spans="1:3" x14ac:dyDescent="0.35">
      <c r="A774" s="171">
        <v>45097</v>
      </c>
      <c r="B774">
        <v>114.25</v>
      </c>
      <c r="C774">
        <v>30370000</v>
      </c>
    </row>
    <row r="775" spans="1:3" x14ac:dyDescent="0.35">
      <c r="A775" s="171">
        <v>45096</v>
      </c>
      <c r="B775">
        <v>114.1</v>
      </c>
      <c r="C775">
        <v>33500000</v>
      </c>
    </row>
    <row r="776" spans="1:3" x14ac:dyDescent="0.35">
      <c r="A776" s="171">
        <v>45093</v>
      </c>
      <c r="B776">
        <v>114.25</v>
      </c>
      <c r="C776">
        <v>31720000</v>
      </c>
    </row>
    <row r="777" spans="1:3" x14ac:dyDescent="0.35">
      <c r="A777" s="171">
        <v>45092</v>
      </c>
      <c r="B777">
        <v>113.75</v>
      </c>
      <c r="C777">
        <v>39430000</v>
      </c>
    </row>
    <row r="778" spans="1:3" x14ac:dyDescent="0.35">
      <c r="A778" s="171">
        <v>45091</v>
      </c>
      <c r="B778">
        <v>113.8</v>
      </c>
      <c r="C778">
        <v>66700000</v>
      </c>
    </row>
    <row r="779" spans="1:3" x14ac:dyDescent="0.35">
      <c r="A779" s="171">
        <v>45090</v>
      </c>
      <c r="B779">
        <v>111.15</v>
      </c>
      <c r="C779">
        <v>30020000</v>
      </c>
    </row>
    <row r="780" spans="1:3" x14ac:dyDescent="0.35">
      <c r="A780" s="171">
        <v>45089</v>
      </c>
      <c r="B780">
        <v>109.5</v>
      </c>
      <c r="C780">
        <v>23470000</v>
      </c>
    </row>
    <row r="781" spans="1:3" x14ac:dyDescent="0.35">
      <c r="A781" s="171">
        <v>45086</v>
      </c>
      <c r="B781">
        <v>108.9</v>
      </c>
      <c r="C781">
        <v>36390000</v>
      </c>
    </row>
    <row r="782" spans="1:3" x14ac:dyDescent="0.35">
      <c r="A782" s="171">
        <v>45085</v>
      </c>
      <c r="B782">
        <v>111.15</v>
      </c>
      <c r="C782">
        <v>46380000</v>
      </c>
    </row>
    <row r="783" spans="1:3" x14ac:dyDescent="0.35">
      <c r="A783" s="171">
        <v>45084</v>
      </c>
      <c r="B783">
        <v>111.5</v>
      </c>
      <c r="C783">
        <v>45160000</v>
      </c>
    </row>
    <row r="784" spans="1:3" x14ac:dyDescent="0.35">
      <c r="A784" s="171">
        <v>45083</v>
      </c>
      <c r="B784">
        <v>109</v>
      </c>
      <c r="C784">
        <v>26750000</v>
      </c>
    </row>
    <row r="785" spans="1:3" x14ac:dyDescent="0.35">
      <c r="A785" s="171">
        <v>45082</v>
      </c>
      <c r="B785">
        <v>109.4</v>
      </c>
      <c r="C785">
        <v>39640000</v>
      </c>
    </row>
    <row r="786" spans="1:3" x14ac:dyDescent="0.35">
      <c r="A786" s="171">
        <v>45079</v>
      </c>
      <c r="B786">
        <v>108</v>
      </c>
      <c r="C786">
        <v>46690000</v>
      </c>
    </row>
    <row r="787" spans="1:3" x14ac:dyDescent="0.35">
      <c r="A787" s="171">
        <v>45078</v>
      </c>
      <c r="B787">
        <v>105.95</v>
      </c>
      <c r="C787">
        <v>21210000</v>
      </c>
    </row>
    <row r="788" spans="1:3" x14ac:dyDescent="0.35">
      <c r="A788" s="171">
        <v>45077</v>
      </c>
      <c r="B788">
        <v>105.8</v>
      </c>
      <c r="C788">
        <v>41250000</v>
      </c>
    </row>
    <row r="789" spans="1:3" x14ac:dyDescent="0.35">
      <c r="A789" s="171">
        <v>45076</v>
      </c>
      <c r="B789">
        <v>107.05</v>
      </c>
      <c r="C789">
        <v>33479999.999999996</v>
      </c>
    </row>
    <row r="790" spans="1:3" x14ac:dyDescent="0.35">
      <c r="A790" s="171">
        <v>45075</v>
      </c>
      <c r="B790">
        <v>108.45</v>
      </c>
      <c r="C790">
        <v>41060000</v>
      </c>
    </row>
    <row r="791" spans="1:3" x14ac:dyDescent="0.35">
      <c r="A791" s="171">
        <v>45072</v>
      </c>
      <c r="B791">
        <v>106.4</v>
      </c>
      <c r="C791">
        <v>28360000</v>
      </c>
    </row>
    <row r="792" spans="1:3" x14ac:dyDescent="0.35">
      <c r="A792" s="171">
        <v>45071</v>
      </c>
      <c r="B792">
        <v>104.85</v>
      </c>
      <c r="C792">
        <v>25890000</v>
      </c>
    </row>
    <row r="793" spans="1:3" x14ac:dyDescent="0.35">
      <c r="A793" s="171">
        <v>45070</v>
      </c>
      <c r="B793">
        <v>105.2</v>
      </c>
      <c r="C793">
        <v>28450000</v>
      </c>
    </row>
    <row r="794" spans="1:3" x14ac:dyDescent="0.35">
      <c r="A794" s="171">
        <v>45069</v>
      </c>
      <c r="B794">
        <v>105.6</v>
      </c>
      <c r="C794">
        <v>21300000</v>
      </c>
    </row>
    <row r="795" spans="1:3" x14ac:dyDescent="0.35">
      <c r="A795" s="171">
        <v>45068</v>
      </c>
      <c r="B795">
        <v>105</v>
      </c>
      <c r="C795">
        <v>21590000</v>
      </c>
    </row>
    <row r="796" spans="1:3" x14ac:dyDescent="0.35">
      <c r="A796" s="171">
        <v>45065</v>
      </c>
      <c r="B796">
        <v>104.65</v>
      </c>
      <c r="C796">
        <v>29850000</v>
      </c>
    </row>
    <row r="797" spans="1:3" x14ac:dyDescent="0.35">
      <c r="A797" s="171">
        <v>45064</v>
      </c>
      <c r="B797">
        <v>105.2</v>
      </c>
      <c r="C797">
        <v>24210000</v>
      </c>
    </row>
    <row r="798" spans="1:3" x14ac:dyDescent="0.35">
      <c r="A798" s="171">
        <v>45063</v>
      </c>
      <c r="B798">
        <v>106</v>
      </c>
      <c r="C798">
        <v>28900000</v>
      </c>
    </row>
    <row r="799" spans="1:3" x14ac:dyDescent="0.35">
      <c r="A799" s="171">
        <v>45062</v>
      </c>
      <c r="B799">
        <v>107.4</v>
      </c>
      <c r="C799">
        <v>18590000</v>
      </c>
    </row>
    <row r="800" spans="1:3" x14ac:dyDescent="0.35">
      <c r="A800" s="171">
        <v>45061</v>
      </c>
      <c r="B800">
        <v>107.7</v>
      </c>
      <c r="C800">
        <v>22150000</v>
      </c>
    </row>
    <row r="801" spans="1:3" x14ac:dyDescent="0.35">
      <c r="A801" s="171">
        <v>45058</v>
      </c>
      <c r="B801">
        <v>106.75</v>
      </c>
      <c r="C801">
        <v>36790000</v>
      </c>
    </row>
    <row r="802" spans="1:3" x14ac:dyDescent="0.35">
      <c r="A802" s="171">
        <v>45057</v>
      </c>
      <c r="B802">
        <v>108.55</v>
      </c>
      <c r="C802">
        <v>19820000</v>
      </c>
    </row>
    <row r="803" spans="1:3" x14ac:dyDescent="0.35">
      <c r="A803" s="171">
        <v>45056</v>
      </c>
      <c r="B803">
        <v>109.25</v>
      </c>
      <c r="C803">
        <v>19210000</v>
      </c>
    </row>
    <row r="804" spans="1:3" x14ac:dyDescent="0.35">
      <c r="A804" s="171">
        <v>45055</v>
      </c>
      <c r="B804">
        <v>109.55</v>
      </c>
      <c r="C804">
        <v>28000000</v>
      </c>
    </row>
    <row r="805" spans="1:3" x14ac:dyDescent="0.35">
      <c r="A805" s="171">
        <v>45054</v>
      </c>
      <c r="B805">
        <v>109.55</v>
      </c>
      <c r="C805">
        <v>23130000</v>
      </c>
    </row>
    <row r="806" spans="1:3" x14ac:dyDescent="0.35">
      <c r="A806" s="171">
        <v>45051</v>
      </c>
      <c r="B806">
        <v>108.65</v>
      </c>
      <c r="C806">
        <v>32960000</v>
      </c>
    </row>
    <row r="807" spans="1:3" x14ac:dyDescent="0.35">
      <c r="A807" s="171">
        <v>45050</v>
      </c>
      <c r="B807">
        <v>111.05</v>
      </c>
      <c r="C807">
        <v>38640000</v>
      </c>
    </row>
    <row r="808" spans="1:3" x14ac:dyDescent="0.35">
      <c r="A808" s="171">
        <v>45049</v>
      </c>
      <c r="B808">
        <v>109.7</v>
      </c>
      <c r="C808">
        <v>51270000</v>
      </c>
    </row>
    <row r="809" spans="1:3" x14ac:dyDescent="0.35">
      <c r="A809" s="171">
        <v>45048</v>
      </c>
      <c r="B809">
        <v>110.3</v>
      </c>
      <c r="C809">
        <v>52820000</v>
      </c>
    </row>
    <row r="810" spans="1:3" x14ac:dyDescent="0.35">
      <c r="A810" s="171">
        <v>45044</v>
      </c>
      <c r="B810">
        <v>107.95</v>
      </c>
      <c r="C810">
        <v>30070000</v>
      </c>
    </row>
    <row r="811" spans="1:3" x14ac:dyDescent="0.35">
      <c r="A811" s="171">
        <v>45043</v>
      </c>
      <c r="B811">
        <v>107.65</v>
      </c>
      <c r="C811">
        <v>22360000</v>
      </c>
    </row>
    <row r="812" spans="1:3" x14ac:dyDescent="0.35">
      <c r="A812" s="171">
        <v>45042</v>
      </c>
      <c r="B812">
        <v>106.85</v>
      </c>
      <c r="C812">
        <v>23590000</v>
      </c>
    </row>
    <row r="813" spans="1:3" x14ac:dyDescent="0.35">
      <c r="A813" s="171">
        <v>45041</v>
      </c>
      <c r="B813">
        <v>107.05</v>
      </c>
      <c r="C813">
        <v>23330000</v>
      </c>
    </row>
    <row r="814" spans="1:3" x14ac:dyDescent="0.35">
      <c r="A814" s="171">
        <v>45040</v>
      </c>
      <c r="B814">
        <v>106.5</v>
      </c>
      <c r="C814">
        <v>23480000</v>
      </c>
    </row>
    <row r="815" spans="1:3" x14ac:dyDescent="0.35">
      <c r="A815" s="171">
        <v>45037</v>
      </c>
      <c r="B815">
        <v>106.15</v>
      </c>
      <c r="C815">
        <v>37640000</v>
      </c>
    </row>
    <row r="816" spans="1:3" x14ac:dyDescent="0.35">
      <c r="A816" s="171">
        <v>45036</v>
      </c>
      <c r="B816">
        <v>108</v>
      </c>
      <c r="C816">
        <v>18340000</v>
      </c>
    </row>
    <row r="817" spans="1:3" x14ac:dyDescent="0.35">
      <c r="A817" s="171">
        <v>45035</v>
      </c>
      <c r="B817">
        <v>108.1</v>
      </c>
      <c r="C817">
        <v>62100000</v>
      </c>
    </row>
    <row r="818" spans="1:3" x14ac:dyDescent="0.35">
      <c r="A818" s="171">
        <v>45034</v>
      </c>
      <c r="B818">
        <v>107.6</v>
      </c>
      <c r="C818">
        <v>25480000</v>
      </c>
    </row>
    <row r="819" spans="1:3" x14ac:dyDescent="0.35">
      <c r="A819" s="171">
        <v>45033</v>
      </c>
      <c r="B819">
        <v>107.15</v>
      </c>
      <c r="C819">
        <v>24640000</v>
      </c>
    </row>
    <row r="820" spans="1:3" x14ac:dyDescent="0.35">
      <c r="A820" s="171">
        <v>45029</v>
      </c>
      <c r="B820">
        <v>107.5</v>
      </c>
      <c r="C820">
        <v>34880000</v>
      </c>
    </row>
    <row r="821" spans="1:3" x14ac:dyDescent="0.35">
      <c r="A821" s="171">
        <v>45028</v>
      </c>
      <c r="B821">
        <v>107.6</v>
      </c>
      <c r="C821">
        <v>27350000</v>
      </c>
    </row>
    <row r="822" spans="1:3" x14ac:dyDescent="0.35">
      <c r="A822" s="171">
        <v>45027</v>
      </c>
      <c r="B822">
        <v>107.55</v>
      </c>
      <c r="C822">
        <v>49300000</v>
      </c>
    </row>
    <row r="823" spans="1:3" x14ac:dyDescent="0.35">
      <c r="A823" s="171">
        <v>45026</v>
      </c>
      <c r="B823">
        <v>104.95</v>
      </c>
      <c r="C823">
        <v>19990000</v>
      </c>
    </row>
    <row r="824" spans="1:3" x14ac:dyDescent="0.35">
      <c r="A824" s="171">
        <v>45022</v>
      </c>
      <c r="B824">
        <v>104.35</v>
      </c>
      <c r="C824">
        <v>21050000</v>
      </c>
    </row>
    <row r="825" spans="1:3" x14ac:dyDescent="0.35">
      <c r="A825" s="171">
        <v>45021</v>
      </c>
      <c r="B825">
        <v>104.85</v>
      </c>
      <c r="C825">
        <v>25190000</v>
      </c>
    </row>
    <row r="826" spans="1:3" x14ac:dyDescent="0.35">
      <c r="A826" s="171">
        <v>45019</v>
      </c>
      <c r="B826">
        <v>104.1</v>
      </c>
      <c r="C826">
        <v>21840000</v>
      </c>
    </row>
    <row r="827" spans="1:3" x14ac:dyDescent="0.35">
      <c r="A827" s="171">
        <v>45016</v>
      </c>
      <c r="B827">
        <v>104.5</v>
      </c>
      <c r="C827">
        <v>34580000</v>
      </c>
    </row>
    <row r="828" spans="1:3" x14ac:dyDescent="0.35">
      <c r="A828" s="171">
        <v>45014</v>
      </c>
      <c r="B828">
        <v>103.6</v>
      </c>
      <c r="C828">
        <v>37220000</v>
      </c>
    </row>
    <row r="829" spans="1:3" x14ac:dyDescent="0.35">
      <c r="A829" s="171">
        <v>45013</v>
      </c>
      <c r="B829">
        <v>102.5</v>
      </c>
      <c r="C829">
        <v>18700000</v>
      </c>
    </row>
    <row r="830" spans="1:3" x14ac:dyDescent="0.35">
      <c r="A830" s="171">
        <v>45012</v>
      </c>
      <c r="B830">
        <v>102.3</v>
      </c>
      <c r="C830">
        <v>24750000</v>
      </c>
    </row>
    <row r="831" spans="1:3" x14ac:dyDescent="0.35">
      <c r="A831" s="171">
        <v>45009</v>
      </c>
      <c r="B831">
        <v>102.1</v>
      </c>
      <c r="C831">
        <v>39010000</v>
      </c>
    </row>
    <row r="832" spans="1:3" x14ac:dyDescent="0.35">
      <c r="A832" s="171">
        <v>45008</v>
      </c>
      <c r="B832">
        <v>104.9</v>
      </c>
      <c r="C832">
        <v>20910000</v>
      </c>
    </row>
    <row r="833" spans="1:3" x14ac:dyDescent="0.35">
      <c r="A833" s="171">
        <v>45007</v>
      </c>
      <c r="B833">
        <v>104.8</v>
      </c>
      <c r="C833">
        <v>25890000</v>
      </c>
    </row>
    <row r="834" spans="1:3" x14ac:dyDescent="0.35">
      <c r="A834" s="171">
        <v>45006</v>
      </c>
      <c r="B834">
        <v>104.75</v>
      </c>
      <c r="C834">
        <v>26430000</v>
      </c>
    </row>
    <row r="835" spans="1:3" x14ac:dyDescent="0.35">
      <c r="A835" s="171">
        <v>45005</v>
      </c>
      <c r="B835">
        <v>104.5</v>
      </c>
      <c r="C835">
        <v>41570000</v>
      </c>
    </row>
    <row r="836" spans="1:3" x14ac:dyDescent="0.35">
      <c r="A836" s="171">
        <v>45002</v>
      </c>
      <c r="B836">
        <v>107</v>
      </c>
      <c r="C836">
        <v>48960000</v>
      </c>
    </row>
    <row r="837" spans="1:3" x14ac:dyDescent="0.35">
      <c r="A837" s="171">
        <v>45001</v>
      </c>
      <c r="B837">
        <v>105.05</v>
      </c>
      <c r="C837">
        <v>81090000</v>
      </c>
    </row>
    <row r="838" spans="1:3" x14ac:dyDescent="0.35">
      <c r="A838" s="171">
        <v>45000</v>
      </c>
      <c r="B838">
        <v>108.65</v>
      </c>
      <c r="C838">
        <v>38930000</v>
      </c>
    </row>
    <row r="839" spans="1:3" x14ac:dyDescent="0.35">
      <c r="A839" s="171">
        <v>44999</v>
      </c>
      <c r="B839">
        <v>106.4</v>
      </c>
      <c r="C839">
        <v>48580000</v>
      </c>
    </row>
    <row r="840" spans="1:3" x14ac:dyDescent="0.35">
      <c r="A840" s="171">
        <v>44998</v>
      </c>
      <c r="B840">
        <v>106.8</v>
      </c>
      <c r="C840">
        <v>34550000</v>
      </c>
    </row>
    <row r="841" spans="1:3" x14ac:dyDescent="0.35">
      <c r="A841" s="171">
        <v>44995</v>
      </c>
      <c r="B841">
        <v>108.1</v>
      </c>
      <c r="C841">
        <v>47700000</v>
      </c>
    </row>
    <row r="842" spans="1:3" x14ac:dyDescent="0.35">
      <c r="A842" s="171">
        <v>44994</v>
      </c>
      <c r="B842">
        <v>108.2</v>
      </c>
      <c r="C842">
        <v>51970000</v>
      </c>
    </row>
    <row r="843" spans="1:3" x14ac:dyDescent="0.35">
      <c r="A843" s="171">
        <v>44993</v>
      </c>
      <c r="B843">
        <v>106.5</v>
      </c>
      <c r="C843">
        <v>43940000</v>
      </c>
    </row>
    <row r="844" spans="1:3" x14ac:dyDescent="0.35">
      <c r="A844" s="171">
        <v>44991</v>
      </c>
      <c r="B844">
        <v>105.65</v>
      </c>
      <c r="C844">
        <v>106870000</v>
      </c>
    </row>
    <row r="845" spans="1:3" x14ac:dyDescent="0.35">
      <c r="A845" s="171">
        <v>44988</v>
      </c>
      <c r="B845">
        <v>107</v>
      </c>
      <c r="C845">
        <v>117180000</v>
      </c>
    </row>
    <row r="846" spans="1:3" x14ac:dyDescent="0.35">
      <c r="A846" s="171">
        <v>44987</v>
      </c>
      <c r="B846">
        <v>104.65</v>
      </c>
      <c r="C846">
        <v>55280000</v>
      </c>
    </row>
    <row r="847" spans="1:3" x14ac:dyDescent="0.35">
      <c r="A847" s="171">
        <v>44986</v>
      </c>
      <c r="B847">
        <v>105.5</v>
      </c>
      <c r="C847">
        <v>76180000</v>
      </c>
    </row>
    <row r="848" spans="1:3" x14ac:dyDescent="0.35">
      <c r="A848" s="171">
        <v>44985</v>
      </c>
      <c r="B848">
        <v>103.95</v>
      </c>
      <c r="C848">
        <v>76540000</v>
      </c>
    </row>
    <row r="849" spans="1:3" x14ac:dyDescent="0.35">
      <c r="A849" s="171">
        <v>44984</v>
      </c>
      <c r="B849">
        <v>106.1</v>
      </c>
      <c r="C849">
        <v>56220000</v>
      </c>
    </row>
    <row r="850" spans="1:3" x14ac:dyDescent="0.35">
      <c r="A850" s="171">
        <v>44981</v>
      </c>
      <c r="B850">
        <v>109.75</v>
      </c>
      <c r="C850">
        <v>34330000</v>
      </c>
    </row>
    <row r="851" spans="1:3" x14ac:dyDescent="0.35">
      <c r="A851" s="171">
        <v>44980</v>
      </c>
      <c r="B851">
        <v>112.05</v>
      </c>
      <c r="C851">
        <v>30850000</v>
      </c>
    </row>
    <row r="852" spans="1:3" x14ac:dyDescent="0.35">
      <c r="A852" s="171">
        <v>44979</v>
      </c>
      <c r="B852">
        <v>111.15</v>
      </c>
      <c r="C852">
        <v>24390000</v>
      </c>
    </row>
    <row r="853" spans="1:3" x14ac:dyDescent="0.35">
      <c r="A853" s="171">
        <v>44978</v>
      </c>
      <c r="B853">
        <v>113.15</v>
      </c>
      <c r="C853">
        <v>29830000</v>
      </c>
    </row>
    <row r="854" spans="1:3" x14ac:dyDescent="0.35">
      <c r="A854" s="171">
        <v>44977</v>
      </c>
      <c r="B854">
        <v>112.35</v>
      </c>
      <c r="C854">
        <v>19900000</v>
      </c>
    </row>
    <row r="855" spans="1:3" x14ac:dyDescent="0.35">
      <c r="A855" s="171">
        <v>44974</v>
      </c>
      <c r="B855">
        <v>112.25</v>
      </c>
      <c r="C855">
        <v>34110000</v>
      </c>
    </row>
    <row r="856" spans="1:3" x14ac:dyDescent="0.35">
      <c r="A856" s="171">
        <v>44973</v>
      </c>
      <c r="B856">
        <v>112</v>
      </c>
      <c r="C856">
        <v>30960000</v>
      </c>
    </row>
    <row r="857" spans="1:3" x14ac:dyDescent="0.35">
      <c r="A857" s="171">
        <v>44972</v>
      </c>
      <c r="B857">
        <v>110.3</v>
      </c>
      <c r="C857">
        <v>35540000</v>
      </c>
    </row>
    <row r="858" spans="1:3" x14ac:dyDescent="0.35">
      <c r="A858" s="171">
        <v>44971</v>
      </c>
      <c r="B858">
        <v>109.25</v>
      </c>
      <c r="C858">
        <v>31160000</v>
      </c>
    </row>
    <row r="859" spans="1:3" x14ac:dyDescent="0.35">
      <c r="A859" s="171">
        <v>44970</v>
      </c>
      <c r="B859">
        <v>108.75</v>
      </c>
      <c r="C859">
        <v>56190000</v>
      </c>
    </row>
    <row r="860" spans="1:3" x14ac:dyDescent="0.35">
      <c r="A860" s="171">
        <v>44967</v>
      </c>
      <c r="B860">
        <v>108.8</v>
      </c>
      <c r="C860">
        <v>60810000</v>
      </c>
    </row>
    <row r="861" spans="1:3" x14ac:dyDescent="0.35">
      <c r="A861" s="171">
        <v>44966</v>
      </c>
      <c r="B861">
        <v>111.25</v>
      </c>
      <c r="C861">
        <v>64709999.999999993</v>
      </c>
    </row>
    <row r="862" spans="1:3" x14ac:dyDescent="0.35">
      <c r="A862" s="171">
        <v>44965</v>
      </c>
      <c r="B862">
        <v>111.45</v>
      </c>
      <c r="C862">
        <v>66519999.999999993</v>
      </c>
    </row>
    <row r="863" spans="1:3" x14ac:dyDescent="0.35">
      <c r="A863" s="171">
        <v>44964</v>
      </c>
      <c r="B863">
        <v>111.45</v>
      </c>
      <c r="C863">
        <v>110950000</v>
      </c>
    </row>
    <row r="864" spans="1:3" x14ac:dyDescent="0.35">
      <c r="A864" s="171">
        <v>44963</v>
      </c>
      <c r="B864">
        <v>117.45</v>
      </c>
      <c r="C864">
        <v>49550000</v>
      </c>
    </row>
    <row r="865" spans="1:3" x14ac:dyDescent="0.35">
      <c r="A865" s="171">
        <v>44960</v>
      </c>
      <c r="B865">
        <v>120.35</v>
      </c>
      <c r="C865">
        <v>46980000</v>
      </c>
    </row>
    <row r="866" spans="1:3" x14ac:dyDescent="0.35">
      <c r="A866" s="171">
        <v>44959</v>
      </c>
      <c r="B866">
        <v>119.95</v>
      </c>
      <c r="C866">
        <v>38770000</v>
      </c>
    </row>
    <row r="867" spans="1:3" x14ac:dyDescent="0.35">
      <c r="A867" s="171">
        <v>44958</v>
      </c>
      <c r="B867">
        <v>122.05</v>
      </c>
      <c r="C867">
        <v>72920000</v>
      </c>
    </row>
    <row r="868" spans="1:3" x14ac:dyDescent="0.35">
      <c r="A868" s="171">
        <v>44957</v>
      </c>
      <c r="B868">
        <v>119.7</v>
      </c>
      <c r="C868">
        <v>43990000</v>
      </c>
    </row>
    <row r="869" spans="1:3" x14ac:dyDescent="0.35">
      <c r="A869" s="171">
        <v>44956</v>
      </c>
      <c r="B869">
        <v>118.75</v>
      </c>
      <c r="C869">
        <v>46550000</v>
      </c>
    </row>
    <row r="870" spans="1:3" x14ac:dyDescent="0.35">
      <c r="A870" s="171">
        <v>44953</v>
      </c>
      <c r="B870">
        <v>120.65</v>
      </c>
      <c r="C870">
        <v>58770000</v>
      </c>
    </row>
    <row r="871" spans="1:3" x14ac:dyDescent="0.35">
      <c r="A871" s="171">
        <v>44951</v>
      </c>
      <c r="B871">
        <v>121</v>
      </c>
      <c r="C871">
        <v>46520000</v>
      </c>
    </row>
    <row r="872" spans="1:3" x14ac:dyDescent="0.35">
      <c r="A872" s="171">
        <v>44950</v>
      </c>
      <c r="B872">
        <v>120.4</v>
      </c>
      <c r="C872">
        <v>27710000</v>
      </c>
    </row>
    <row r="873" spans="1:3" x14ac:dyDescent="0.35">
      <c r="A873" s="171">
        <v>44949</v>
      </c>
      <c r="B873">
        <v>122</v>
      </c>
      <c r="C873">
        <v>28600000</v>
      </c>
    </row>
    <row r="874" spans="1:3" x14ac:dyDescent="0.35">
      <c r="A874" s="171">
        <v>44946</v>
      </c>
      <c r="B874">
        <v>122.95</v>
      </c>
      <c r="C874">
        <v>37780000</v>
      </c>
    </row>
    <row r="875" spans="1:3" x14ac:dyDescent="0.35">
      <c r="A875" s="171">
        <v>44945</v>
      </c>
      <c r="B875">
        <v>123.55</v>
      </c>
      <c r="C875">
        <v>53560000</v>
      </c>
    </row>
    <row r="876" spans="1:3" x14ac:dyDescent="0.35">
      <c r="A876" s="171">
        <v>44944</v>
      </c>
      <c r="B876">
        <v>122.45</v>
      </c>
      <c r="C876">
        <v>64750000</v>
      </c>
    </row>
    <row r="877" spans="1:3" x14ac:dyDescent="0.35">
      <c r="A877" s="171">
        <v>44943</v>
      </c>
      <c r="B877">
        <v>119.35</v>
      </c>
      <c r="C877">
        <v>27880000</v>
      </c>
    </row>
    <row r="878" spans="1:3" x14ac:dyDescent="0.35">
      <c r="A878" s="171">
        <v>44942</v>
      </c>
      <c r="B878">
        <v>119.95</v>
      </c>
      <c r="C878">
        <v>44360000</v>
      </c>
    </row>
    <row r="879" spans="1:3" x14ac:dyDescent="0.35">
      <c r="A879" s="171">
        <v>44939</v>
      </c>
      <c r="B879">
        <v>120.45</v>
      </c>
      <c r="C879">
        <v>68880000</v>
      </c>
    </row>
    <row r="880" spans="1:3" x14ac:dyDescent="0.35">
      <c r="A880" s="171">
        <v>44938</v>
      </c>
      <c r="B880">
        <v>118.1</v>
      </c>
      <c r="C880">
        <v>33740000</v>
      </c>
    </row>
    <row r="881" spans="1:3" x14ac:dyDescent="0.35">
      <c r="A881" s="171">
        <v>44937</v>
      </c>
      <c r="B881">
        <v>118.85</v>
      </c>
      <c r="C881">
        <v>49320000</v>
      </c>
    </row>
    <row r="882" spans="1:3" x14ac:dyDescent="0.35">
      <c r="A882" s="171">
        <v>44936</v>
      </c>
      <c r="B882">
        <v>118.85</v>
      </c>
      <c r="C882">
        <v>56750000</v>
      </c>
    </row>
    <row r="883" spans="1:3" x14ac:dyDescent="0.35">
      <c r="A883" s="171">
        <v>44935</v>
      </c>
      <c r="B883">
        <v>117.55</v>
      </c>
      <c r="C883">
        <v>37760000</v>
      </c>
    </row>
    <row r="884" spans="1:3" x14ac:dyDescent="0.35">
      <c r="A884" s="171">
        <v>44932</v>
      </c>
      <c r="B884">
        <v>115.65</v>
      </c>
      <c r="C884">
        <v>58550000</v>
      </c>
    </row>
    <row r="885" spans="1:3" x14ac:dyDescent="0.35">
      <c r="A885" s="171">
        <v>44931</v>
      </c>
      <c r="B885">
        <v>116.55</v>
      </c>
      <c r="C885">
        <v>58810000</v>
      </c>
    </row>
    <row r="886" spans="1:3" x14ac:dyDescent="0.35">
      <c r="A886" s="171">
        <v>44930</v>
      </c>
      <c r="B886">
        <v>115.75</v>
      </c>
      <c r="C886">
        <v>55630000</v>
      </c>
    </row>
    <row r="887" spans="1:3" x14ac:dyDescent="0.35">
      <c r="A887" s="171">
        <v>44929</v>
      </c>
      <c r="B887">
        <v>118.45</v>
      </c>
      <c r="C887">
        <v>74420000</v>
      </c>
    </row>
    <row r="888" spans="1:3" x14ac:dyDescent="0.35">
      <c r="A888" s="171">
        <v>44928</v>
      </c>
      <c r="B888">
        <v>119.25</v>
      </c>
      <c r="C888">
        <v>143440000</v>
      </c>
    </row>
    <row r="889" spans="1:3" x14ac:dyDescent="0.35">
      <c r="A889" s="171">
        <v>44925</v>
      </c>
      <c r="B889">
        <v>112.65</v>
      </c>
      <c r="C889">
        <v>56050000</v>
      </c>
    </row>
    <row r="890" spans="1:3" x14ac:dyDescent="0.35">
      <c r="A890" s="171">
        <v>44924</v>
      </c>
      <c r="B890">
        <v>111.75</v>
      </c>
      <c r="C890">
        <v>51750000</v>
      </c>
    </row>
    <row r="891" spans="1:3" x14ac:dyDescent="0.35">
      <c r="A891" s="171">
        <v>44923</v>
      </c>
      <c r="B891">
        <v>110</v>
      </c>
      <c r="C891">
        <v>50660000</v>
      </c>
    </row>
    <row r="892" spans="1:3" x14ac:dyDescent="0.35">
      <c r="A892" s="171">
        <v>44922</v>
      </c>
      <c r="B892">
        <v>111.15</v>
      </c>
      <c r="C892">
        <v>76030000</v>
      </c>
    </row>
    <row r="893" spans="1:3" x14ac:dyDescent="0.35">
      <c r="A893" s="171">
        <v>44921</v>
      </c>
      <c r="B893">
        <v>105</v>
      </c>
      <c r="C893">
        <v>34000000</v>
      </c>
    </row>
    <row r="894" spans="1:3" x14ac:dyDescent="0.35">
      <c r="A894" s="171">
        <v>44918</v>
      </c>
      <c r="B894">
        <v>102.25</v>
      </c>
      <c r="C894">
        <v>46760000</v>
      </c>
    </row>
    <row r="895" spans="1:3" x14ac:dyDescent="0.35">
      <c r="A895" s="171">
        <v>44917</v>
      </c>
      <c r="B895">
        <v>107.65</v>
      </c>
      <c r="C895">
        <v>39640000</v>
      </c>
    </row>
    <row r="896" spans="1:3" x14ac:dyDescent="0.35">
      <c r="A896" s="171">
        <v>44916</v>
      </c>
      <c r="B896">
        <v>109.4</v>
      </c>
      <c r="C896">
        <v>32299999.999999996</v>
      </c>
    </row>
    <row r="897" spans="1:3" x14ac:dyDescent="0.35">
      <c r="A897" s="171">
        <v>44915</v>
      </c>
      <c r="B897">
        <v>110.95</v>
      </c>
      <c r="C897">
        <v>34840000</v>
      </c>
    </row>
    <row r="898" spans="1:3" x14ac:dyDescent="0.35">
      <c r="A898" s="171">
        <v>44914</v>
      </c>
      <c r="B898">
        <v>111.8</v>
      </c>
      <c r="C898">
        <v>17300000</v>
      </c>
    </row>
    <row r="899" spans="1:3" x14ac:dyDescent="0.35">
      <c r="A899" s="171">
        <v>44911</v>
      </c>
      <c r="B899">
        <v>111.05</v>
      </c>
      <c r="C899">
        <v>34740000</v>
      </c>
    </row>
    <row r="900" spans="1:3" x14ac:dyDescent="0.35">
      <c r="A900" s="171">
        <v>44910</v>
      </c>
      <c r="B900">
        <v>110.95</v>
      </c>
      <c r="C900">
        <v>34360000</v>
      </c>
    </row>
    <row r="901" spans="1:3" x14ac:dyDescent="0.35">
      <c r="A901" s="171">
        <v>44909</v>
      </c>
      <c r="B901">
        <v>113.05</v>
      </c>
      <c r="C901">
        <v>38610000</v>
      </c>
    </row>
    <row r="902" spans="1:3" x14ac:dyDescent="0.35">
      <c r="A902" s="171">
        <v>44908</v>
      </c>
      <c r="B902">
        <v>111.2</v>
      </c>
      <c r="C902">
        <v>32259999.999999996</v>
      </c>
    </row>
    <row r="903" spans="1:3" x14ac:dyDescent="0.35">
      <c r="A903" s="171">
        <v>44907</v>
      </c>
      <c r="B903">
        <v>111.7</v>
      </c>
      <c r="C903">
        <v>37080000</v>
      </c>
    </row>
    <row r="904" spans="1:3" x14ac:dyDescent="0.35">
      <c r="A904" s="171">
        <v>44904</v>
      </c>
      <c r="B904">
        <v>110.45</v>
      </c>
      <c r="C904">
        <v>35670000</v>
      </c>
    </row>
    <row r="905" spans="1:3" x14ac:dyDescent="0.35">
      <c r="A905" s="171">
        <v>44903</v>
      </c>
      <c r="B905">
        <v>111.85</v>
      </c>
      <c r="C905">
        <v>32420000</v>
      </c>
    </row>
    <row r="906" spans="1:3" x14ac:dyDescent="0.35">
      <c r="A906" s="171">
        <v>44902</v>
      </c>
      <c r="B906">
        <v>111.2</v>
      </c>
      <c r="C906">
        <v>39490000</v>
      </c>
    </row>
    <row r="907" spans="1:3" x14ac:dyDescent="0.35">
      <c r="A907" s="171">
        <v>44901</v>
      </c>
      <c r="B907">
        <v>112.95</v>
      </c>
      <c r="C907">
        <v>50580000</v>
      </c>
    </row>
    <row r="908" spans="1:3" x14ac:dyDescent="0.35">
      <c r="A908" s="171">
        <v>44900</v>
      </c>
      <c r="B908">
        <v>115.85</v>
      </c>
      <c r="C908">
        <v>96440000</v>
      </c>
    </row>
    <row r="909" spans="1:3" x14ac:dyDescent="0.35">
      <c r="A909" s="171">
        <v>44897</v>
      </c>
      <c r="B909">
        <v>112</v>
      </c>
      <c r="C909">
        <v>70540000</v>
      </c>
    </row>
    <row r="910" spans="1:3" x14ac:dyDescent="0.35">
      <c r="A910" s="171">
        <v>44896</v>
      </c>
      <c r="B910">
        <v>110.75</v>
      </c>
      <c r="C910">
        <v>91700000</v>
      </c>
    </row>
    <row r="911" spans="1:3" x14ac:dyDescent="0.35">
      <c r="A911" s="171">
        <v>44895</v>
      </c>
      <c r="B911">
        <v>107.65</v>
      </c>
      <c r="C911">
        <v>61140000</v>
      </c>
    </row>
    <row r="912" spans="1:3" x14ac:dyDescent="0.35">
      <c r="A912" s="171">
        <v>44894</v>
      </c>
      <c r="B912">
        <v>106.1</v>
      </c>
      <c r="C912">
        <v>40660000</v>
      </c>
    </row>
    <row r="913" spans="1:3" x14ac:dyDescent="0.35">
      <c r="A913" s="171">
        <v>44893</v>
      </c>
      <c r="B913">
        <v>104.9</v>
      </c>
      <c r="C913">
        <v>33520000.000000004</v>
      </c>
    </row>
    <row r="914" spans="1:3" x14ac:dyDescent="0.35">
      <c r="A914" s="171">
        <v>44890</v>
      </c>
      <c r="B914">
        <v>106.2</v>
      </c>
      <c r="C914">
        <v>27360000</v>
      </c>
    </row>
    <row r="915" spans="1:3" x14ac:dyDescent="0.35">
      <c r="A915" s="171">
        <v>44889</v>
      </c>
      <c r="B915">
        <v>105.5</v>
      </c>
      <c r="C915">
        <v>23740000</v>
      </c>
    </row>
    <row r="916" spans="1:3" x14ac:dyDescent="0.35">
      <c r="A916" s="171">
        <v>44888</v>
      </c>
      <c r="B916">
        <v>105.45</v>
      </c>
      <c r="C916">
        <v>22810000</v>
      </c>
    </row>
    <row r="917" spans="1:3" x14ac:dyDescent="0.35">
      <c r="A917" s="171">
        <v>44887</v>
      </c>
      <c r="B917">
        <v>105.2</v>
      </c>
      <c r="C917">
        <v>27850000</v>
      </c>
    </row>
    <row r="918" spans="1:3" x14ac:dyDescent="0.35">
      <c r="A918" s="171">
        <v>44886</v>
      </c>
      <c r="B918">
        <v>104.25</v>
      </c>
      <c r="C918">
        <v>58400000</v>
      </c>
    </row>
    <row r="919" spans="1:3" x14ac:dyDescent="0.35">
      <c r="A919" s="171">
        <v>44883</v>
      </c>
      <c r="B919">
        <v>105.5</v>
      </c>
      <c r="C919">
        <v>28990000</v>
      </c>
    </row>
    <row r="920" spans="1:3" x14ac:dyDescent="0.35">
      <c r="A920" s="171">
        <v>44882</v>
      </c>
      <c r="B920">
        <v>105.85</v>
      </c>
      <c r="C920">
        <v>32890000</v>
      </c>
    </row>
    <row r="921" spans="1:3" x14ac:dyDescent="0.35">
      <c r="A921" s="171">
        <v>44881</v>
      </c>
      <c r="B921">
        <v>106.55</v>
      </c>
      <c r="C921">
        <v>40400000</v>
      </c>
    </row>
    <row r="922" spans="1:3" x14ac:dyDescent="0.35">
      <c r="A922" s="171">
        <v>44880</v>
      </c>
      <c r="B922">
        <v>108.55</v>
      </c>
      <c r="C922">
        <v>35010000</v>
      </c>
    </row>
    <row r="923" spans="1:3" x14ac:dyDescent="0.35">
      <c r="A923" s="171">
        <v>44879</v>
      </c>
      <c r="B923">
        <v>108.7</v>
      </c>
      <c r="C923">
        <v>55470000</v>
      </c>
    </row>
    <row r="924" spans="1:3" x14ac:dyDescent="0.35">
      <c r="A924" s="171">
        <v>44876</v>
      </c>
      <c r="B924">
        <v>107.55</v>
      </c>
      <c r="C924">
        <v>77930000</v>
      </c>
    </row>
    <row r="925" spans="1:3" x14ac:dyDescent="0.35">
      <c r="A925" s="171">
        <v>44875</v>
      </c>
      <c r="B925">
        <v>104.7</v>
      </c>
      <c r="C925">
        <v>27860000</v>
      </c>
    </row>
    <row r="926" spans="1:3" x14ac:dyDescent="0.35">
      <c r="A926" s="171">
        <v>44874</v>
      </c>
      <c r="B926">
        <v>106.1</v>
      </c>
      <c r="C926">
        <v>38300000</v>
      </c>
    </row>
    <row r="927" spans="1:3" x14ac:dyDescent="0.35">
      <c r="A927" s="171">
        <v>44872</v>
      </c>
      <c r="B927">
        <v>106.7</v>
      </c>
      <c r="C927">
        <v>74430000</v>
      </c>
    </row>
    <row r="928" spans="1:3" x14ac:dyDescent="0.35">
      <c r="A928" s="171">
        <v>44869</v>
      </c>
      <c r="B928">
        <v>104.75</v>
      </c>
      <c r="C928">
        <v>70300000</v>
      </c>
    </row>
    <row r="929" spans="1:3" x14ac:dyDescent="0.35">
      <c r="A929" s="171">
        <v>44868</v>
      </c>
      <c r="B929">
        <v>102</v>
      </c>
      <c r="C929">
        <v>39110000</v>
      </c>
    </row>
    <row r="930" spans="1:3" x14ac:dyDescent="0.35">
      <c r="A930" s="171">
        <v>44867</v>
      </c>
      <c r="B930">
        <v>101.25</v>
      </c>
      <c r="C930">
        <v>42340000</v>
      </c>
    </row>
    <row r="931" spans="1:3" x14ac:dyDescent="0.35">
      <c r="A931" s="171">
        <v>44866</v>
      </c>
      <c r="B931">
        <v>101.2</v>
      </c>
      <c r="C931">
        <v>69030000</v>
      </c>
    </row>
    <row r="932" spans="1:3" x14ac:dyDescent="0.35">
      <c r="A932" s="171">
        <v>44865</v>
      </c>
      <c r="B932">
        <v>101.55</v>
      </c>
      <c r="C932">
        <v>38720000</v>
      </c>
    </row>
    <row r="933" spans="1:3" x14ac:dyDescent="0.35">
      <c r="A933" s="171">
        <v>44862</v>
      </c>
      <c r="B933">
        <v>101.6</v>
      </c>
      <c r="C933">
        <v>51010000</v>
      </c>
    </row>
    <row r="934" spans="1:3" x14ac:dyDescent="0.35">
      <c r="A934" s="171">
        <v>44861</v>
      </c>
      <c r="B934">
        <v>104.2</v>
      </c>
      <c r="C934">
        <v>74350000</v>
      </c>
    </row>
    <row r="935" spans="1:3" x14ac:dyDescent="0.35">
      <c r="A935" s="171">
        <v>44859</v>
      </c>
      <c r="B935">
        <v>101.2</v>
      </c>
      <c r="C935">
        <v>37160000</v>
      </c>
    </row>
    <row r="936" spans="1:3" x14ac:dyDescent="0.35">
      <c r="A936" s="171">
        <v>44858</v>
      </c>
      <c r="B936">
        <v>101.2</v>
      </c>
      <c r="C936">
        <v>7480000</v>
      </c>
    </row>
    <row r="937" spans="1:3" x14ac:dyDescent="0.35">
      <c r="A937" s="171">
        <v>44855</v>
      </c>
      <c r="B937">
        <v>100.2</v>
      </c>
      <c r="C937">
        <v>30970000</v>
      </c>
    </row>
    <row r="938" spans="1:3" x14ac:dyDescent="0.35">
      <c r="A938" s="171">
        <v>44854</v>
      </c>
      <c r="B938">
        <v>100.9</v>
      </c>
      <c r="C938">
        <v>38090000</v>
      </c>
    </row>
    <row r="939" spans="1:3" x14ac:dyDescent="0.35">
      <c r="A939" s="171">
        <v>44853</v>
      </c>
      <c r="B939">
        <v>100.05</v>
      </c>
      <c r="C939">
        <v>38760000</v>
      </c>
    </row>
    <row r="940" spans="1:3" x14ac:dyDescent="0.35">
      <c r="A940" s="171">
        <v>44852</v>
      </c>
      <c r="B940">
        <v>100.65</v>
      </c>
      <c r="C940">
        <v>30720000</v>
      </c>
    </row>
    <row r="941" spans="1:3" x14ac:dyDescent="0.35">
      <c r="A941" s="171">
        <v>44851</v>
      </c>
      <c r="B941">
        <v>99.55</v>
      </c>
      <c r="C941">
        <v>37570000</v>
      </c>
    </row>
    <row r="942" spans="1:3" x14ac:dyDescent="0.35">
      <c r="A942" s="171">
        <v>44848</v>
      </c>
      <c r="B942">
        <v>100.1</v>
      </c>
      <c r="C942">
        <v>32460000</v>
      </c>
    </row>
    <row r="943" spans="1:3" x14ac:dyDescent="0.35">
      <c r="A943" s="171">
        <v>44847</v>
      </c>
      <c r="B943">
        <v>100.1</v>
      </c>
      <c r="C943">
        <v>34670000</v>
      </c>
    </row>
    <row r="944" spans="1:3" x14ac:dyDescent="0.35">
      <c r="A944" s="171">
        <v>44846</v>
      </c>
      <c r="B944">
        <v>100.55</v>
      </c>
      <c r="C944">
        <v>41360000</v>
      </c>
    </row>
    <row r="945" spans="1:3" x14ac:dyDescent="0.35">
      <c r="A945" s="171">
        <v>44845</v>
      </c>
      <c r="B945">
        <v>100.35</v>
      </c>
      <c r="C945">
        <v>41080000</v>
      </c>
    </row>
    <row r="946" spans="1:3" x14ac:dyDescent="0.35">
      <c r="A946" s="171">
        <v>44844</v>
      </c>
      <c r="B946">
        <v>103.2</v>
      </c>
      <c r="C946">
        <v>36640000</v>
      </c>
    </row>
    <row r="947" spans="1:3" x14ac:dyDescent="0.35">
      <c r="A947" s="171">
        <v>44841</v>
      </c>
      <c r="B947">
        <v>103.3</v>
      </c>
      <c r="C947">
        <v>36080000</v>
      </c>
    </row>
    <row r="948" spans="1:3" x14ac:dyDescent="0.35">
      <c r="A948" s="171">
        <v>44840</v>
      </c>
      <c r="B948">
        <v>103.55</v>
      </c>
      <c r="C948">
        <v>48170000</v>
      </c>
    </row>
    <row r="949" spans="1:3" x14ac:dyDescent="0.35">
      <c r="A949" s="171">
        <v>44838</v>
      </c>
      <c r="B949">
        <v>101.15</v>
      </c>
      <c r="C949">
        <v>40190000</v>
      </c>
    </row>
    <row r="950" spans="1:3" x14ac:dyDescent="0.35">
      <c r="A950" s="171">
        <v>44837</v>
      </c>
      <c r="B950">
        <v>98.35</v>
      </c>
      <c r="C950">
        <v>37280000</v>
      </c>
    </row>
    <row r="951" spans="1:3" x14ac:dyDescent="0.35">
      <c r="A951" s="171">
        <v>44834</v>
      </c>
      <c r="B951">
        <v>99.3</v>
      </c>
      <c r="C951">
        <v>66440000</v>
      </c>
    </row>
    <row r="952" spans="1:3" x14ac:dyDescent="0.35">
      <c r="A952" s="171">
        <v>44833</v>
      </c>
      <c r="B952">
        <v>96.85</v>
      </c>
      <c r="C952">
        <v>60880000</v>
      </c>
    </row>
    <row r="953" spans="1:3" x14ac:dyDescent="0.35">
      <c r="A953" s="171">
        <v>44832</v>
      </c>
      <c r="B953">
        <v>95.2</v>
      </c>
      <c r="C953">
        <v>71720000</v>
      </c>
    </row>
    <row r="954" spans="1:3" x14ac:dyDescent="0.35">
      <c r="A954" s="171">
        <v>44831</v>
      </c>
      <c r="B954">
        <v>97.65</v>
      </c>
      <c r="C954">
        <v>104950000</v>
      </c>
    </row>
    <row r="955" spans="1:3" x14ac:dyDescent="0.35">
      <c r="A955" s="171">
        <v>44830</v>
      </c>
      <c r="B955">
        <v>99.85</v>
      </c>
      <c r="C955">
        <v>101290000</v>
      </c>
    </row>
    <row r="956" spans="1:3" x14ac:dyDescent="0.35">
      <c r="A956" s="171">
        <v>44827</v>
      </c>
      <c r="B956">
        <v>104.3</v>
      </c>
      <c r="C956">
        <v>109770000</v>
      </c>
    </row>
    <row r="957" spans="1:3" x14ac:dyDescent="0.35">
      <c r="A957" s="171">
        <v>44826</v>
      </c>
      <c r="B957">
        <v>103.6</v>
      </c>
      <c r="C957">
        <v>61380000</v>
      </c>
    </row>
    <row r="958" spans="1:3" x14ac:dyDescent="0.35">
      <c r="A958" s="171">
        <v>44825</v>
      </c>
      <c r="B958">
        <v>104.45</v>
      </c>
      <c r="C958">
        <v>46140000</v>
      </c>
    </row>
    <row r="959" spans="1:3" x14ac:dyDescent="0.35">
      <c r="A959" s="171">
        <v>44824</v>
      </c>
      <c r="B959">
        <v>105.8</v>
      </c>
      <c r="C959">
        <v>52140000</v>
      </c>
    </row>
    <row r="960" spans="1:3" x14ac:dyDescent="0.35">
      <c r="A960" s="171">
        <v>44823</v>
      </c>
      <c r="B960">
        <v>103.1</v>
      </c>
      <c r="C960">
        <v>51150000</v>
      </c>
    </row>
    <row r="961" spans="1:3" x14ac:dyDescent="0.35">
      <c r="A961" s="171">
        <v>44820</v>
      </c>
      <c r="B961">
        <v>105.7</v>
      </c>
      <c r="C961">
        <v>107970000</v>
      </c>
    </row>
    <row r="962" spans="1:3" x14ac:dyDescent="0.35">
      <c r="A962" s="171">
        <v>44819</v>
      </c>
      <c r="B962">
        <v>107</v>
      </c>
      <c r="C962">
        <v>62930000</v>
      </c>
    </row>
    <row r="963" spans="1:3" x14ac:dyDescent="0.35">
      <c r="A963" s="171">
        <v>44818</v>
      </c>
      <c r="B963">
        <v>109.15</v>
      </c>
      <c r="C963">
        <v>86380000</v>
      </c>
    </row>
    <row r="964" spans="1:3" x14ac:dyDescent="0.35">
      <c r="A964" s="171">
        <v>44817</v>
      </c>
      <c r="B964">
        <v>107.75</v>
      </c>
      <c r="C964">
        <v>44180000</v>
      </c>
    </row>
    <row r="965" spans="1:3" x14ac:dyDescent="0.35">
      <c r="A965" s="171">
        <v>44816</v>
      </c>
      <c r="B965">
        <v>107.75</v>
      </c>
      <c r="C965">
        <v>40840000</v>
      </c>
    </row>
    <row r="966" spans="1:3" x14ac:dyDescent="0.35">
      <c r="A966" s="171">
        <v>44813</v>
      </c>
      <c r="B966">
        <v>105.7</v>
      </c>
      <c r="C966">
        <v>63650000</v>
      </c>
    </row>
    <row r="967" spans="1:3" x14ac:dyDescent="0.35">
      <c r="A967" s="171">
        <v>44812</v>
      </c>
      <c r="B967">
        <v>105.85</v>
      </c>
      <c r="C967">
        <v>71230000</v>
      </c>
    </row>
    <row r="968" spans="1:3" x14ac:dyDescent="0.35">
      <c r="A968" s="171">
        <v>44811</v>
      </c>
      <c r="B968">
        <v>107.6</v>
      </c>
      <c r="C968">
        <v>43950000</v>
      </c>
    </row>
    <row r="969" spans="1:3" x14ac:dyDescent="0.35">
      <c r="A969" s="171">
        <v>44810</v>
      </c>
      <c r="B969">
        <v>108.6</v>
      </c>
      <c r="C969">
        <v>59510000</v>
      </c>
    </row>
    <row r="970" spans="1:3" x14ac:dyDescent="0.35">
      <c r="A970" s="171">
        <v>44809</v>
      </c>
      <c r="B970">
        <v>106.9</v>
      </c>
      <c r="C970">
        <v>40350000</v>
      </c>
    </row>
    <row r="971" spans="1:3" x14ac:dyDescent="0.35">
      <c r="A971" s="171">
        <v>44806</v>
      </c>
      <c r="B971">
        <v>105.5</v>
      </c>
      <c r="C971">
        <v>45600000</v>
      </c>
    </row>
    <row r="972" spans="1:3" x14ac:dyDescent="0.35">
      <c r="A972" s="171">
        <v>44805</v>
      </c>
      <c r="B972">
        <v>106.4</v>
      </c>
      <c r="C972">
        <v>52450000</v>
      </c>
    </row>
    <row r="973" spans="1:3" x14ac:dyDescent="0.35">
      <c r="A973" s="171">
        <v>44803</v>
      </c>
      <c r="B973">
        <v>108.3</v>
      </c>
      <c r="C973">
        <v>67400000</v>
      </c>
    </row>
    <row r="974" spans="1:3" x14ac:dyDescent="0.35">
      <c r="A974" s="171">
        <v>44802</v>
      </c>
      <c r="B974">
        <v>104.85</v>
      </c>
      <c r="C974">
        <v>59900000</v>
      </c>
    </row>
    <row r="975" spans="1:3" x14ac:dyDescent="0.35">
      <c r="A975" s="171">
        <v>44799</v>
      </c>
      <c r="B975">
        <v>107.35</v>
      </c>
      <c r="C975">
        <v>71260000</v>
      </c>
    </row>
    <row r="976" spans="1:3" x14ac:dyDescent="0.35">
      <c r="A976" s="171">
        <v>44798</v>
      </c>
      <c r="B976">
        <v>106.25</v>
      </c>
      <c r="C976">
        <v>42190000</v>
      </c>
    </row>
    <row r="977" spans="1:3" x14ac:dyDescent="0.35">
      <c r="A977" s="171">
        <v>44797</v>
      </c>
      <c r="B977">
        <v>106.55</v>
      </c>
      <c r="C977">
        <v>55690000</v>
      </c>
    </row>
    <row r="978" spans="1:3" x14ac:dyDescent="0.35">
      <c r="A978" s="171">
        <v>44796</v>
      </c>
      <c r="B978">
        <v>107.6</v>
      </c>
      <c r="C978">
        <v>70530000</v>
      </c>
    </row>
    <row r="979" spans="1:3" x14ac:dyDescent="0.35">
      <c r="A979" s="171">
        <v>44795</v>
      </c>
      <c r="B979">
        <v>105.05</v>
      </c>
      <c r="C979">
        <v>74040000</v>
      </c>
    </row>
    <row r="980" spans="1:3" x14ac:dyDescent="0.35">
      <c r="A980" s="171">
        <v>44792</v>
      </c>
      <c r="B980">
        <v>110.05</v>
      </c>
      <c r="C980">
        <v>57130000</v>
      </c>
    </row>
    <row r="981" spans="1:3" x14ac:dyDescent="0.35">
      <c r="A981" s="171">
        <v>44791</v>
      </c>
      <c r="B981">
        <v>112.55</v>
      </c>
      <c r="C981">
        <v>49400000</v>
      </c>
    </row>
    <row r="982" spans="1:3" x14ac:dyDescent="0.35">
      <c r="A982" s="171">
        <v>44790</v>
      </c>
      <c r="B982">
        <v>112.5</v>
      </c>
      <c r="C982">
        <v>54010000</v>
      </c>
    </row>
    <row r="983" spans="1:3" x14ac:dyDescent="0.35">
      <c r="A983" s="171">
        <v>44789</v>
      </c>
      <c r="B983">
        <v>113</v>
      </c>
      <c r="C983">
        <v>69210000</v>
      </c>
    </row>
    <row r="984" spans="1:3" x14ac:dyDescent="0.35">
      <c r="A984" s="171">
        <v>44785</v>
      </c>
      <c r="B984">
        <v>112.65</v>
      </c>
      <c r="C984">
        <v>95940000</v>
      </c>
    </row>
    <row r="985" spans="1:3" x14ac:dyDescent="0.35">
      <c r="A985" s="171">
        <v>44784</v>
      </c>
      <c r="B985">
        <v>109.1</v>
      </c>
      <c r="C985">
        <v>75320000</v>
      </c>
    </row>
    <row r="986" spans="1:3" x14ac:dyDescent="0.35">
      <c r="A986" s="171">
        <v>44783</v>
      </c>
      <c r="B986">
        <v>109.2</v>
      </c>
      <c r="C986">
        <v>73880000</v>
      </c>
    </row>
    <row r="987" spans="1:3" x14ac:dyDescent="0.35">
      <c r="A987" s="171">
        <v>44781</v>
      </c>
      <c r="B987">
        <v>107.2</v>
      </c>
      <c r="C987">
        <v>41380000</v>
      </c>
    </row>
    <row r="988" spans="1:3" x14ac:dyDescent="0.35">
      <c r="A988" s="171">
        <v>44778</v>
      </c>
      <c r="B988">
        <v>107.35</v>
      </c>
      <c r="C988">
        <v>54470000</v>
      </c>
    </row>
    <row r="989" spans="1:3" x14ac:dyDescent="0.35">
      <c r="A989" s="171">
        <v>44777</v>
      </c>
      <c r="B989">
        <v>107.7</v>
      </c>
      <c r="C989">
        <v>79530000</v>
      </c>
    </row>
    <row r="990" spans="1:3" x14ac:dyDescent="0.35">
      <c r="A990" s="171">
        <v>44776</v>
      </c>
      <c r="B990">
        <v>107.05</v>
      </c>
      <c r="C990">
        <v>61430000</v>
      </c>
    </row>
    <row r="991" spans="1:3" x14ac:dyDescent="0.35">
      <c r="A991" s="171">
        <v>44775</v>
      </c>
      <c r="B991">
        <v>107</v>
      </c>
      <c r="C991">
        <v>64940000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pageSetUpPr fitToPage="1"/>
  </sheetPr>
  <dimension ref="A1:N25"/>
  <sheetViews>
    <sheetView zoomScale="120" zoomScaleNormal="120" zoomScaleSheetLayoutView="100" zoomScalePageLayoutView="120" workbookViewId="0">
      <pane xSplit="1" ySplit="4" topLeftCell="E5" activePane="bottomRight" state="frozen"/>
      <selection activeCell="I2" sqref="I2"/>
      <selection pane="topRight" activeCell="I2" sqref="I2"/>
      <selection pane="bottomLeft" activeCell="I2" sqref="I2"/>
      <selection pane="bottomRight" activeCell="I13" sqref="I13:K13"/>
    </sheetView>
  </sheetViews>
  <sheetFormatPr defaultColWidth="8.81640625" defaultRowHeight="14.5" x14ac:dyDescent="0.35"/>
  <cols>
    <col min="1" max="1" width="20.6328125" customWidth="1"/>
    <col min="2" max="6" width="13.453125" customWidth="1"/>
    <col min="7" max="7" width="14.81640625" bestFit="1" customWidth="1"/>
    <col min="8" max="11" width="13.453125" customWidth="1"/>
    <col min="12" max="12" width="13.36328125" customWidth="1"/>
    <col min="13" max="14" width="12.08984375" customWidth="1"/>
  </cols>
  <sheetData>
    <row r="1" spans="1:14" s="2" customFormat="1" x14ac:dyDescent="0.35">
      <c r="A1" s="2" t="str">
        <f>'Data Sheet'!B1</f>
        <v>TATA STEEL LTD</v>
      </c>
      <c r="H1" t="str">
        <f>UPDATE</f>
        <v/>
      </c>
      <c r="J1" s="3"/>
      <c r="K1" s="3"/>
      <c r="M1" s="2" t="s">
        <v>1</v>
      </c>
    </row>
    <row r="3" spans="1:14" s="2" customFormat="1" x14ac:dyDescent="0.35">
      <c r="A3" s="11" t="s">
        <v>2</v>
      </c>
      <c r="B3" s="12">
        <f>'Data Sheet'!B16</f>
        <v>42825</v>
      </c>
      <c r="C3" s="12">
        <f>'Data Sheet'!C16</f>
        <v>43190</v>
      </c>
      <c r="D3" s="12">
        <f>'Data Sheet'!D16</f>
        <v>43555</v>
      </c>
      <c r="E3" s="12">
        <f>'Data Sheet'!E16</f>
        <v>43921</v>
      </c>
      <c r="F3" s="12">
        <f>'Data Sheet'!F16</f>
        <v>44286</v>
      </c>
      <c r="G3" s="12">
        <f>'Data Sheet'!G16</f>
        <v>44651</v>
      </c>
      <c r="H3" s="12">
        <f>'Data Sheet'!H16</f>
        <v>45016</v>
      </c>
      <c r="I3" s="12">
        <f>'Data Sheet'!I16</f>
        <v>45382</v>
      </c>
      <c r="J3" s="12">
        <f>'Data Sheet'!J16</f>
        <v>45747</v>
      </c>
      <c r="K3" s="12">
        <f>'Data Sheet'!K16</f>
        <v>46112</v>
      </c>
      <c r="L3" s="13" t="s">
        <v>3</v>
      </c>
      <c r="M3" s="13" t="s">
        <v>4</v>
      </c>
      <c r="N3" s="13" t="s">
        <v>5</v>
      </c>
    </row>
    <row r="4" spans="1:14" s="2" customFormat="1" x14ac:dyDescent="0.35">
      <c r="A4" s="2" t="s">
        <v>6</v>
      </c>
      <c r="B4" s="1">
        <f>'Data Sheet'!B17</f>
        <v>112299.42</v>
      </c>
      <c r="C4" s="1">
        <f>'Data Sheet'!C17</f>
        <v>123249.07</v>
      </c>
      <c r="D4" s="1">
        <f>'Data Sheet'!D17</f>
        <v>157668.99</v>
      </c>
      <c r="E4" s="1">
        <f>'Data Sheet'!E17</f>
        <v>139816.65</v>
      </c>
      <c r="F4" s="1">
        <f>'Data Sheet'!F17</f>
        <v>156477.4</v>
      </c>
      <c r="G4" s="1">
        <f>'Data Sheet'!G17</f>
        <v>243959.17</v>
      </c>
      <c r="H4" s="1">
        <f>'Data Sheet'!H17</f>
        <v>243352.69</v>
      </c>
      <c r="I4" s="1">
        <f>'Data Sheet'!I17</f>
        <v>229170.78</v>
      </c>
      <c r="J4" s="1">
        <f>'Data Sheet'!J17</f>
        <v>218542.51</v>
      </c>
      <c r="K4" s="1">
        <f>'Data Sheet'!K17</f>
        <v>232139.94</v>
      </c>
      <c r="L4" s="1">
        <f>SUM(Quarters!H4:K4)</f>
        <v>232139.94</v>
      </c>
      <c r="M4" s="1">
        <f>$K4+M23*K4</f>
        <v>246583.38436400131</v>
      </c>
      <c r="N4" s="1">
        <f>$K4+N23*L4</f>
        <v>228518.36426566218</v>
      </c>
    </row>
    <row r="5" spans="1:14" x14ac:dyDescent="0.35">
      <c r="A5" t="s">
        <v>7</v>
      </c>
      <c r="B5" s="6">
        <f>SUM('Data Sheet'!B18,'Data Sheet'!B20:B24, -1*'Data Sheet'!B19)</f>
        <v>99155.790000000008</v>
      </c>
      <c r="C5" s="6">
        <f>SUM('Data Sheet'!C18,'Data Sheet'!C20:C24, -1*'Data Sheet'!C19)</f>
        <v>101815.88</v>
      </c>
      <c r="D5" s="6">
        <f>SUM('Data Sheet'!D18,'Data Sheet'!D20:D24, -1*'Data Sheet'!D19)</f>
        <v>128350.76999999999</v>
      </c>
      <c r="E5" s="6">
        <f>SUM('Data Sheet'!E18,'Data Sheet'!E20:E24, -1*'Data Sheet'!E19)</f>
        <v>122353.59</v>
      </c>
      <c r="F5" s="6">
        <f>SUM('Data Sheet'!F18,'Data Sheet'!F20:F24, -1*'Data Sheet'!F19)</f>
        <v>125973.14000000001</v>
      </c>
      <c r="G5" s="6">
        <f>SUM('Data Sheet'!G18,'Data Sheet'!G20:G24, -1*'Data Sheet'!G19)</f>
        <v>180469.21999999997</v>
      </c>
      <c r="H5" s="6">
        <f>SUM('Data Sheet'!H18,'Data Sheet'!H20:H24, -1*'Data Sheet'!H19)</f>
        <v>211052.52999999997</v>
      </c>
      <c r="I5" s="6">
        <f>SUM('Data Sheet'!I18,'Data Sheet'!I20:I24, -1*'Data Sheet'!I19)</f>
        <v>206922.86000000002</v>
      </c>
      <c r="J5" s="6">
        <f>SUM('Data Sheet'!J18,'Data Sheet'!J20:J24, -1*'Data Sheet'!J19)</f>
        <v>193244.06000000003</v>
      </c>
      <c r="K5" s="6">
        <f>SUM('Data Sheet'!K18,'Data Sheet'!K20:K24, -1*'Data Sheet'!K19)</f>
        <v>197787.5</v>
      </c>
      <c r="L5" s="6">
        <f>SUM(Quarters!H5:K5)</f>
        <v>197787.5</v>
      </c>
      <c r="M5" s="6">
        <f t="shared" ref="M5:N5" si="0">M4-M6</f>
        <v>210093.5803416461</v>
      </c>
      <c r="N5" s="6">
        <f t="shared" si="0"/>
        <v>200989.80181917024</v>
      </c>
    </row>
    <row r="6" spans="1:14" s="2" customFormat="1" x14ac:dyDescent="0.35">
      <c r="A6" s="2" t="s">
        <v>8</v>
      </c>
      <c r="B6" s="1">
        <f>B4-B5</f>
        <v>13143.62999999999</v>
      </c>
      <c r="C6" s="1">
        <f t="shared" ref="C6:K6" si="1">C4-C5</f>
        <v>21433.190000000002</v>
      </c>
      <c r="D6" s="1">
        <f t="shared" si="1"/>
        <v>29318.22</v>
      </c>
      <c r="E6" s="1">
        <f t="shared" si="1"/>
        <v>17463.059999999998</v>
      </c>
      <c r="F6" s="1">
        <f t="shared" si="1"/>
        <v>30504.25999999998</v>
      </c>
      <c r="G6" s="1">
        <f t="shared" si="1"/>
        <v>63489.950000000041</v>
      </c>
      <c r="H6" s="1">
        <f t="shared" si="1"/>
        <v>32300.160000000033</v>
      </c>
      <c r="I6" s="1">
        <f t="shared" si="1"/>
        <v>22247.919999999984</v>
      </c>
      <c r="J6" s="1">
        <f t="shared" si="1"/>
        <v>25298.449999999983</v>
      </c>
      <c r="K6" s="1">
        <f t="shared" si="1"/>
        <v>34352.44</v>
      </c>
      <c r="L6" s="1">
        <f>SUM(Quarters!H6:K6)</f>
        <v>34352.44</v>
      </c>
      <c r="M6" s="1">
        <f>M4*M24</f>
        <v>36489.804022355194</v>
      </c>
      <c r="N6" s="1">
        <f>N4*N24</f>
        <v>27528.562446491946</v>
      </c>
    </row>
    <row r="7" spans="1:14" x14ac:dyDescent="0.35">
      <c r="A7" t="s">
        <v>9</v>
      </c>
      <c r="B7" s="6">
        <f>'Data Sheet'!B25</f>
        <v>-3789.11</v>
      </c>
      <c r="C7" s="6">
        <f>'Data Sheet'!C25</f>
        <v>10898.41</v>
      </c>
      <c r="D7" s="6">
        <f>'Data Sheet'!D25</f>
        <v>1524.31</v>
      </c>
      <c r="E7" s="6">
        <f>'Data Sheet'!E25</f>
        <v>-2883.63</v>
      </c>
      <c r="F7" s="6">
        <f>'Data Sheet'!F25</f>
        <v>179.78</v>
      </c>
      <c r="G7" s="6">
        <f>'Data Sheet'!G25</f>
        <v>1299.99</v>
      </c>
      <c r="H7" s="6">
        <f>'Data Sheet'!H25</f>
        <v>1568.86</v>
      </c>
      <c r="I7" s="6">
        <f>'Data Sheet'!I25</f>
        <v>-6005.23</v>
      </c>
      <c r="J7" s="6">
        <f>'Data Sheet'!J25</f>
        <v>876.7</v>
      </c>
      <c r="K7" s="6">
        <f>'Data Sheet'!K25</f>
        <v>737.82</v>
      </c>
      <c r="L7" s="6">
        <f>SUM(Quarters!H7:K7)</f>
        <v>737.82</v>
      </c>
      <c r="M7" s="6">
        <v>0</v>
      </c>
      <c r="N7" s="6">
        <v>0</v>
      </c>
    </row>
    <row r="8" spans="1:14" x14ac:dyDescent="0.35">
      <c r="A8" t="s">
        <v>10</v>
      </c>
      <c r="B8" s="6">
        <f>'Data Sheet'!B26</f>
        <v>5672.88</v>
      </c>
      <c r="C8" s="6">
        <f>'Data Sheet'!C26</f>
        <v>5741.7</v>
      </c>
      <c r="D8" s="6">
        <f>'Data Sheet'!D26</f>
        <v>7341.83</v>
      </c>
      <c r="E8" s="6">
        <f>'Data Sheet'!E26</f>
        <v>8440.73</v>
      </c>
      <c r="F8" s="6">
        <f>'Data Sheet'!F26</f>
        <v>9233.64</v>
      </c>
      <c r="G8" s="6">
        <f>'Data Sheet'!G26</f>
        <v>9100.8700000000008</v>
      </c>
      <c r="H8" s="6">
        <f>'Data Sheet'!H26</f>
        <v>9335.2000000000007</v>
      </c>
      <c r="I8" s="6">
        <f>'Data Sheet'!I26</f>
        <v>9882.16</v>
      </c>
      <c r="J8" s="6">
        <f>'Data Sheet'!J26</f>
        <v>10421.33</v>
      </c>
      <c r="K8" s="6">
        <f>'Data Sheet'!K26</f>
        <v>11954.51</v>
      </c>
      <c r="L8" s="6">
        <f>SUM(Quarters!H8:K8)</f>
        <v>11954.51</v>
      </c>
      <c r="M8" s="6">
        <f>+$L8</f>
        <v>11954.51</v>
      </c>
      <c r="N8" s="6">
        <f>+$L8</f>
        <v>11954.51</v>
      </c>
    </row>
    <row r="9" spans="1:14" x14ac:dyDescent="0.35">
      <c r="A9" t="s">
        <v>11</v>
      </c>
      <c r="B9" s="6">
        <f>'Data Sheet'!B27</f>
        <v>5072.2</v>
      </c>
      <c r="C9" s="6">
        <f>'Data Sheet'!C27</f>
        <v>5454.74</v>
      </c>
      <c r="D9" s="6">
        <f>'Data Sheet'!D27</f>
        <v>7660.1</v>
      </c>
      <c r="E9" s="6">
        <f>'Data Sheet'!E27</f>
        <v>7533.46</v>
      </c>
      <c r="F9" s="6">
        <f>'Data Sheet'!F27</f>
        <v>7606.71</v>
      </c>
      <c r="G9" s="6">
        <f>'Data Sheet'!G27</f>
        <v>5462.2</v>
      </c>
      <c r="H9" s="6">
        <f>'Data Sheet'!H27</f>
        <v>6298.7</v>
      </c>
      <c r="I9" s="6">
        <f>'Data Sheet'!I27</f>
        <v>7507.57</v>
      </c>
      <c r="J9" s="6">
        <f>'Data Sheet'!J27</f>
        <v>7340.95</v>
      </c>
      <c r="K9" s="6">
        <f>'Data Sheet'!K27</f>
        <v>7167.06</v>
      </c>
      <c r="L9" s="6">
        <f>SUM(Quarters!H9:K9)</f>
        <v>7167.06</v>
      </c>
      <c r="M9" s="6">
        <f>+$L9</f>
        <v>7167.06</v>
      </c>
      <c r="N9" s="6">
        <f>+$L9</f>
        <v>7167.06</v>
      </c>
    </row>
    <row r="10" spans="1:14" x14ac:dyDescent="0.35">
      <c r="A10" t="s">
        <v>12</v>
      </c>
      <c r="B10" s="6">
        <f>'Data Sheet'!B28</f>
        <v>-1390.56</v>
      </c>
      <c r="C10" s="6">
        <f>'Data Sheet'!C28</f>
        <v>21135.16</v>
      </c>
      <c r="D10" s="6">
        <f>'Data Sheet'!D28</f>
        <v>15840.6</v>
      </c>
      <c r="E10" s="6">
        <f>'Data Sheet'!E28</f>
        <v>-1394.76</v>
      </c>
      <c r="F10" s="6">
        <f>'Data Sheet'!F28</f>
        <v>13843.69</v>
      </c>
      <c r="G10" s="6">
        <f>'Data Sheet'!G28</f>
        <v>50226.87</v>
      </c>
      <c r="H10" s="6">
        <f>'Data Sheet'!H28</f>
        <v>18235.12</v>
      </c>
      <c r="I10" s="6">
        <f>'Data Sheet'!I28</f>
        <v>-1147.04</v>
      </c>
      <c r="J10" s="6">
        <f>'Data Sheet'!J28</f>
        <v>8412.8700000000008</v>
      </c>
      <c r="K10" s="6">
        <f>'Data Sheet'!K28</f>
        <v>15968.69</v>
      </c>
      <c r="L10" s="6">
        <f>SUM(Quarters!H10:K10)</f>
        <v>15968.689999999999</v>
      </c>
      <c r="M10" s="6">
        <f>M6+M7-SUM(M8:M9)</f>
        <v>17368.234022355195</v>
      </c>
      <c r="N10" s="6">
        <f>N6+N7-SUM(N8:N9)</f>
        <v>8406.9924464919459</v>
      </c>
    </row>
    <row r="11" spans="1:14" x14ac:dyDescent="0.35">
      <c r="A11" t="s">
        <v>13</v>
      </c>
      <c r="B11" s="6">
        <f>'Data Sheet'!B29</f>
        <v>2778.01</v>
      </c>
      <c r="C11" s="6">
        <f>'Data Sheet'!C29</f>
        <v>3392.33</v>
      </c>
      <c r="D11" s="6">
        <f>'Data Sheet'!D29</f>
        <v>6718.43</v>
      </c>
      <c r="E11" s="6">
        <f>'Data Sheet'!E29</f>
        <v>-2568.41</v>
      </c>
      <c r="F11" s="6">
        <f>'Data Sheet'!F29</f>
        <v>5653.9</v>
      </c>
      <c r="G11" s="6">
        <f>'Data Sheet'!G29</f>
        <v>8477.5499999999993</v>
      </c>
      <c r="H11" s="6">
        <f>'Data Sheet'!H29</f>
        <v>10159.77</v>
      </c>
      <c r="I11" s="6">
        <f>'Data Sheet'!I29</f>
        <v>3762.57</v>
      </c>
      <c r="J11" s="6">
        <f>'Data Sheet'!J29</f>
        <v>5239.09</v>
      </c>
      <c r="K11" s="6">
        <f>'Data Sheet'!K29</f>
        <v>5082.87</v>
      </c>
      <c r="L11" s="6">
        <f>SUM(Quarters!H11:K11)</f>
        <v>5082.8700000000008</v>
      </c>
      <c r="M11" s="7">
        <f>IF($L10&gt;0,$L11/$L10,0)</f>
        <v>0.3183022527207931</v>
      </c>
      <c r="N11" s="7">
        <f>IF($L10&gt;0,$L11/$L10,0)</f>
        <v>0.3183022527207931</v>
      </c>
    </row>
    <row r="12" spans="1:14" s="2" customFormat="1" x14ac:dyDescent="0.35">
      <c r="A12" s="2" t="s">
        <v>14</v>
      </c>
      <c r="B12" s="1">
        <f>'Data Sheet'!B30</f>
        <v>-4240.8</v>
      </c>
      <c r="C12" s="1">
        <f>'Data Sheet'!C30</f>
        <v>13434.33</v>
      </c>
      <c r="D12" s="1">
        <f>'Data Sheet'!D30</f>
        <v>10218.33</v>
      </c>
      <c r="E12" s="1">
        <f>'Data Sheet'!E30</f>
        <v>1556.54</v>
      </c>
      <c r="F12" s="1">
        <f>'Data Sheet'!F30</f>
        <v>7490.22</v>
      </c>
      <c r="G12" s="1">
        <f>'Data Sheet'!G30</f>
        <v>40153.93</v>
      </c>
      <c r="H12" s="1">
        <f>'Data Sheet'!H30</f>
        <v>8760.4</v>
      </c>
      <c r="I12" s="1">
        <f>'Data Sheet'!I30</f>
        <v>-4437.4399999999996</v>
      </c>
      <c r="J12" s="1">
        <f>'Data Sheet'!J30</f>
        <v>3420.51</v>
      </c>
      <c r="K12" s="1">
        <f>'Data Sheet'!K30</f>
        <v>10793.87</v>
      </c>
      <c r="L12" s="1">
        <f>SUM(Quarters!H12:K12)</f>
        <v>10793.869999999999</v>
      </c>
      <c r="M12" s="1">
        <f>M10-M11*M10</f>
        <v>11839.886007257614</v>
      </c>
      <c r="N12" s="1">
        <f>N10-N11*N10</f>
        <v>5731.027812166868</v>
      </c>
    </row>
    <row r="13" spans="1:14" x14ac:dyDescent="0.35">
      <c r="A13" t="s">
        <v>57</v>
      </c>
      <c r="B13" s="6">
        <f>IF('Data Sheet'!B93&gt;0,B12/'Data Sheet'!B93,0)</f>
        <v>-3.7641795814027805</v>
      </c>
      <c r="C13" s="6">
        <f>IF('Data Sheet'!C93&gt;0,C12/'Data Sheet'!C93,0)</f>
        <v>11.925937433420922</v>
      </c>
      <c r="D13" s="6">
        <f>IF('Data Sheet'!D93&gt;0,D12/'Data Sheet'!D93,0)</f>
        <v>9.0709460359168741</v>
      </c>
      <c r="E13" s="6">
        <f>IF('Data Sheet'!E93&gt;0,E12/'Data Sheet'!E93,0)</f>
        <v>1.3817610453710196</v>
      </c>
      <c r="F13" s="6">
        <f>IF('Data Sheet'!F93&gt;0,F12/'Data Sheet'!F93,0)</f>
        <v>6.2596378040932992</v>
      </c>
      <c r="G13" s="6">
        <f>IF('Data Sheet'!G93&gt;0,G12/'Data Sheet'!G93,0)</f>
        <v>32.878023417669695</v>
      </c>
      <c r="H13" s="6">
        <f>IF('Data Sheet'!H93&gt;0,H12/'Data Sheet'!H93,0)</f>
        <v>7.1680235650288422</v>
      </c>
      <c r="I13" s="6">
        <f>IF('Data Sheet'!I93&gt;0,I12/'Data Sheet'!I93,0)</f>
        <v>-3.5546441302519325</v>
      </c>
      <c r="J13" s="6">
        <f>IF('Data Sheet'!J93&gt;0,J12/'Data Sheet'!J93,0)</f>
        <v>2.7400248327792691</v>
      </c>
      <c r="K13" s="6">
        <f>IF('Data Sheet'!K93&gt;0,K12/'Data Sheet'!K93,0)</f>
        <v>8.6465093923979666</v>
      </c>
      <c r="L13" s="6">
        <f>IF('Data Sheet'!$B6&gt;0,'Profit &amp; Loss'!L12/'Data Sheet'!$B6,0)</f>
        <v>8.6441442176863763</v>
      </c>
      <c r="M13" s="6">
        <f>IF('Data Sheet'!$B6&gt;0,'Profit &amp; Loss'!M12/'Data Sheet'!$B6,0)</f>
        <v>9.4818338712344818</v>
      </c>
      <c r="N13" s="6">
        <f>IF('Data Sheet'!$B6&gt;0,'Profit &amp; Loss'!N12/'Data Sheet'!$B6,0)</f>
        <v>4.5896264198051338</v>
      </c>
    </row>
    <row r="14" spans="1:14" x14ac:dyDescent="0.35">
      <c r="A14" t="s">
        <v>16</v>
      </c>
      <c r="B14" s="6">
        <f>IF(B15&gt;0,B15/B13,"")</f>
        <v>-12.217801782682512</v>
      </c>
      <c r="C14" s="6">
        <f t="shared" ref="C14:K14" si="2">IF(C15&gt;0,C15/C13,"")</f>
        <v>4.7887220873687042</v>
      </c>
      <c r="D14" s="6">
        <f t="shared" si="2"/>
        <v>5.7436126059737749</v>
      </c>
      <c r="E14" s="6">
        <f t="shared" si="2"/>
        <v>19.511333084919116</v>
      </c>
      <c r="F14" s="6">
        <f t="shared" si="2"/>
        <v>12.970399013647127</v>
      </c>
      <c r="G14" s="6">
        <f t="shared" si="2"/>
        <v>3.975908111609499</v>
      </c>
      <c r="H14" s="6">
        <f t="shared" si="2"/>
        <v>14.578635107985937</v>
      </c>
      <c r="I14" s="6">
        <f t="shared" si="2"/>
        <v>-43.844051412526142</v>
      </c>
      <c r="J14" s="6">
        <f t="shared" si="2"/>
        <v>56.291460630139944</v>
      </c>
      <c r="K14" s="6">
        <f t="shared" si="2"/>
        <v>22.189301056988825</v>
      </c>
      <c r="L14" s="6">
        <f t="shared" ref="L14" si="3">IF(L13&gt;0,L15/L13,0)</f>
        <v>21.664377095518105</v>
      </c>
      <c r="M14" s="6">
        <f>M25</f>
        <v>33.381712927548953</v>
      </c>
      <c r="N14" s="6">
        <f>N25</f>
        <v>17.968194310461222</v>
      </c>
    </row>
    <row r="15" spans="1:14" s="2" customFormat="1" x14ac:dyDescent="0.35">
      <c r="A15" s="2" t="s">
        <v>58</v>
      </c>
      <c r="B15" s="1">
        <f>'Data Sheet'!B90</f>
        <v>45.99</v>
      </c>
      <c r="C15" s="1">
        <f>'Data Sheet'!C90</f>
        <v>57.11</v>
      </c>
      <c r="D15" s="1">
        <f>'Data Sheet'!D90</f>
        <v>52.1</v>
      </c>
      <c r="E15" s="1">
        <f>'Data Sheet'!E90</f>
        <v>26.96</v>
      </c>
      <c r="F15" s="1">
        <f>'Data Sheet'!F90</f>
        <v>81.19</v>
      </c>
      <c r="G15" s="1">
        <f>'Data Sheet'!G90</f>
        <v>130.72</v>
      </c>
      <c r="H15" s="1">
        <f>'Data Sheet'!H90</f>
        <v>104.5</v>
      </c>
      <c r="I15" s="1">
        <f>'Data Sheet'!I90</f>
        <v>155.85</v>
      </c>
      <c r="J15" s="1">
        <f>'Data Sheet'!J90</f>
        <v>154.24</v>
      </c>
      <c r="K15" s="1">
        <f>'Data Sheet'!K90</f>
        <v>191.86</v>
      </c>
      <c r="L15" s="1">
        <f>'Data Sheet'!B8</f>
        <v>187.27</v>
      </c>
      <c r="M15" s="8">
        <f>M13*M14</f>
        <v>316.51985631625962</v>
      </c>
      <c r="N15" s="9">
        <f>N13*N14</f>
        <v>82.467299323485108</v>
      </c>
    </row>
    <row r="16" spans="1:14" x14ac:dyDescent="0.35">
      <c r="F16">
        <f>F10/F11*100</f>
        <v>244.85204902810455</v>
      </c>
      <c r="G16">
        <f t="shared" ref="G16:K16" si="4">G10/G11*100</f>
        <v>592.4691685687493</v>
      </c>
      <c r="H16">
        <f t="shared" si="4"/>
        <v>179.48359067183605</v>
      </c>
      <c r="I16">
        <f t="shared" si="4"/>
        <v>-30.485545783865813</v>
      </c>
      <c r="J16">
        <f t="shared" si="4"/>
        <v>160.57884098192625</v>
      </c>
      <c r="K16">
        <f t="shared" si="4"/>
        <v>314.16679946565625</v>
      </c>
    </row>
    <row r="17" spans="1:14" s="2" customFormat="1" x14ac:dyDescent="0.35">
      <c r="A17" s="2" t="s">
        <v>15</v>
      </c>
      <c r="H17" s="162">
        <f>H13*H18</f>
        <v>3.5973162050484806</v>
      </c>
      <c r="I17" s="162">
        <f t="shared" ref="I17:K17" si="5">I13*I18</f>
        <v>0</v>
      </c>
      <c r="J17" s="162">
        <f t="shared" si="5"/>
        <v>3.5973725317418999</v>
      </c>
      <c r="K17" s="162">
        <f t="shared" si="5"/>
        <v>3.9970841510794251</v>
      </c>
    </row>
    <row r="18" spans="1:14" x14ac:dyDescent="0.35">
      <c r="A18" t="s">
        <v>17</v>
      </c>
      <c r="B18" s="5">
        <f>IF('Data Sheet'!B30&gt;0, 'Data Sheet'!B31/'Data Sheet'!B30, 0)</f>
        <v>0</v>
      </c>
      <c r="C18" s="5">
        <f>IF('Data Sheet'!C30&gt;0, 'Data Sheet'!C31/'Data Sheet'!C30, 0)</f>
        <v>8.5225686729446137E-2</v>
      </c>
      <c r="D18" s="5">
        <f>IF('Data Sheet'!D30&gt;0, 'Data Sheet'!D31/'Data Sheet'!D30, 0)</f>
        <v>0.14566176664875768</v>
      </c>
      <c r="E18" s="5">
        <f>IF('Data Sheet'!E30&gt;0, 'Data Sheet'!E31/'Data Sheet'!E30, 0)</f>
        <v>0.73557377259819856</v>
      </c>
      <c r="F18" s="5">
        <f>IF('Data Sheet'!F30&gt;0, 'Data Sheet'!F31/'Data Sheet'!F30, 0)</f>
        <v>0.39972390664092644</v>
      </c>
      <c r="G18" s="5">
        <f>IF('Data Sheet'!G30&gt;0, 'Data Sheet'!G31/'Data Sheet'!G30, 0)</f>
        <v>0.15510735810915643</v>
      </c>
      <c r="H18" s="5">
        <f>IF('Data Sheet'!H30&gt;0, 'Data Sheet'!H31/'Data Sheet'!H30, 0)</f>
        <v>0.50185607963106715</v>
      </c>
      <c r="I18" s="5">
        <f>IF('Data Sheet'!I30&gt;0, 'Data Sheet'!I31/'Data Sheet'!I30, 0)</f>
        <v>0</v>
      </c>
      <c r="J18" s="5">
        <f>IF('Data Sheet'!J30&gt;0, 'Data Sheet'!J31/'Data Sheet'!J30, 0)</f>
        <v>1.3128977842485476</v>
      </c>
      <c r="K18" s="5">
        <f>IF('Data Sheet'!K30&gt;0, 'Data Sheet'!K31/'Data Sheet'!K30, 0)</f>
        <v>0.46227719992921906</v>
      </c>
    </row>
    <row r="19" spans="1:14" x14ac:dyDescent="0.35">
      <c r="A19" t="s">
        <v>18</v>
      </c>
      <c r="B19" s="5">
        <f t="shared" ref="B19:L19" si="6">IF(B6&gt;0,B6/B4,0)</f>
        <v>0.11704094286506547</v>
      </c>
      <c r="C19" s="5">
        <f t="shared" ref="C19:K19" si="7">IF(C6&gt;0,C6/C4,0)</f>
        <v>0.17390143390128623</v>
      </c>
      <c r="D19" s="5">
        <f t="shared" si="7"/>
        <v>0.18594791531296043</v>
      </c>
      <c r="E19" s="5">
        <f t="shared" si="7"/>
        <v>0.12489971687921288</v>
      </c>
      <c r="F19" s="5">
        <f t="shared" si="7"/>
        <v>0.19494355095368393</v>
      </c>
      <c r="G19" s="5">
        <f t="shared" si="7"/>
        <v>0.26024826203499563</v>
      </c>
      <c r="H19" s="5">
        <f t="shared" si="7"/>
        <v>0.13272982517678367</v>
      </c>
      <c r="I19" s="5">
        <f t="shared" si="7"/>
        <v>9.7080090227907687E-2</v>
      </c>
      <c r="J19" s="5">
        <f t="shared" si="7"/>
        <v>0.11575985834517953</v>
      </c>
      <c r="K19" s="5">
        <f t="shared" si="7"/>
        <v>0.14798160109802735</v>
      </c>
      <c r="L19" s="5">
        <f t="shared" si="6"/>
        <v>0.14798160109802735</v>
      </c>
    </row>
    <row r="20" spans="1:14" x14ac:dyDescent="0.35">
      <c r="B20" s="5"/>
      <c r="C20" s="5"/>
      <c r="D20" s="5"/>
      <c r="E20" s="5"/>
      <c r="F20" s="5"/>
      <c r="G20" s="5"/>
      <c r="H20" s="5"/>
      <c r="I20" s="5"/>
      <c r="J20" s="5"/>
      <c r="K20" s="5"/>
      <c r="L20" s="5"/>
    </row>
    <row r="21" spans="1:14" x14ac:dyDescent="0.35">
      <c r="B21" s="5"/>
      <c r="C21" s="5"/>
      <c r="D21" s="5"/>
      <c r="E21" s="5"/>
      <c r="F21" s="5"/>
      <c r="G21" s="5"/>
      <c r="H21" s="5"/>
      <c r="I21" s="5"/>
      <c r="J21" s="5"/>
      <c r="K21" s="5"/>
      <c r="L21" s="5"/>
    </row>
    <row r="22" spans="1:14" s="2" customFormat="1" x14ac:dyDescent="0.35">
      <c r="A22" s="11"/>
      <c r="B22" s="12"/>
      <c r="C22" s="12"/>
      <c r="D22" s="12"/>
      <c r="E22" s="12"/>
      <c r="F22" s="12"/>
      <c r="G22" s="12" t="s">
        <v>19</v>
      </c>
      <c r="H22" s="12" t="s">
        <v>65</v>
      </c>
      <c r="I22" s="12" t="s">
        <v>66</v>
      </c>
      <c r="J22" s="12" t="s">
        <v>67</v>
      </c>
      <c r="K22" s="12" t="s">
        <v>68</v>
      </c>
      <c r="L22" s="13" t="s">
        <v>69</v>
      </c>
      <c r="M22" s="13" t="s">
        <v>20</v>
      </c>
      <c r="N22" s="13" t="s">
        <v>21</v>
      </c>
    </row>
    <row r="23" spans="1:14" s="2" customFormat="1" x14ac:dyDescent="0.35">
      <c r="A23"/>
      <c r="B23"/>
      <c r="C23"/>
      <c r="D23"/>
      <c r="E23"/>
      <c r="F23"/>
      <c r="G23" t="s">
        <v>22</v>
      </c>
      <c r="H23" s="5">
        <f>IF(B4=0,"",POWER($K4/B4,1/9)-1)</f>
        <v>8.4030178416981904E-2</v>
      </c>
      <c r="I23" s="5">
        <f>IF(D4=0,"",POWER($K4/D4,1/7)-1)</f>
        <v>5.6818754508975777E-2</v>
      </c>
      <c r="J23" s="5">
        <f>IF(F4=0,"",POWER($K4/F4,1/5)-1)</f>
        <v>8.2080695701207018E-2</v>
      </c>
      <c r="K23" s="5">
        <f>IF(H4=0,"",POWER($K4/H4, 1/3)-1)</f>
        <v>-1.5600829974961705E-2</v>
      </c>
      <c r="L23" s="5">
        <f>IF(ISERROR(MAX(IF(J4=0,"",(K4-J4)/J4),IF(K4=0,"",(L4-K4)/K4))),"",MAX(IF(J4=0,"",(K4-J4)/J4),IF(K4=0,"",(L4-K4)/K4)))</f>
        <v>6.2218696033096682E-2</v>
      </c>
      <c r="M23" s="16">
        <f>MAX(K23:L23)</f>
        <v>6.2218696033096682E-2</v>
      </c>
      <c r="N23" s="16">
        <f>MIN(H23:L23)</f>
        <v>-1.5600829974961705E-2</v>
      </c>
    </row>
    <row r="24" spans="1:14" x14ac:dyDescent="0.35">
      <c r="G24" t="s">
        <v>18</v>
      </c>
      <c r="H24" s="5">
        <f>IF(SUM(B4:$K$4)=0,"",SUMPRODUCT(B19:$K$19,B4:$K$4)/SUM(B4:$K$4))</f>
        <v>0.15595137940607018</v>
      </c>
      <c r="I24" s="5">
        <f>IF(SUM(E4:$K$4)=0,"",SUMPRODUCT(E19:$K$19,E4:$K$4)/SUM(E4:$K$4))</f>
        <v>0.15419374127520913</v>
      </c>
      <c r="J24" s="5">
        <f>IF(SUM(G4:$K$4)=0,"",SUMPRODUCT(G19:$K$19,G4:$K$4)/SUM(G4:$K$4))</f>
        <v>0.15223974870598642</v>
      </c>
      <c r="K24" s="5">
        <f>IF(SUM(I4:$K$4)=0, "", SUMPRODUCT(I19:$K$19,I4:$K$4)/SUM(I4:$K$4))</f>
        <v>0.12046542751587717</v>
      </c>
      <c r="L24" s="5">
        <f>L19</f>
        <v>0.14798160109802735</v>
      </c>
      <c r="M24" s="16">
        <f>MAX(K24:L24)</f>
        <v>0.14798160109802735</v>
      </c>
      <c r="N24" s="16">
        <f>MIN(H24:L24)</f>
        <v>0.12046542751587717</v>
      </c>
    </row>
    <row r="25" spans="1:14" x14ac:dyDescent="0.35">
      <c r="G25" t="s">
        <v>23</v>
      </c>
      <c r="H25" s="6">
        <f>IF(ISERROR(AVERAGEIF(B14:$L14,"&gt;0")),"",AVERAGEIF(B14:$L14,"&gt;0"))</f>
        <v>17.968194310461222</v>
      </c>
      <c r="I25" s="6">
        <f>IF(ISERROR(AVERAGEIF(E14:$L14,"&gt;0")),"",AVERAGEIF(E14:$L14,"&gt;0"))</f>
        <v>21.597344871544074</v>
      </c>
      <c r="J25" s="6">
        <f>IF(ISERROR(AVERAGEIF(G14:$L14,"&gt;0")),"",AVERAGEIF(G14:$L14,"&gt;0"))</f>
        <v>23.739936400448464</v>
      </c>
      <c r="K25" s="6">
        <f>IF(ISERROR(AVERAGEIF(I14:$L14,"&gt;0")),"",AVERAGEIF(I14:$L14,"&gt;0"))</f>
        <v>33.381712927548953</v>
      </c>
      <c r="L25" s="6">
        <f>L14</f>
        <v>21.664377095518105</v>
      </c>
      <c r="M25" s="1">
        <f>MAX(K25:L25)</f>
        <v>33.381712927548953</v>
      </c>
      <c r="N25" s="1">
        <f>MIN(H25:L25)</f>
        <v>17.968194310461222</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1">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81640625" defaultRowHeight="14.5" x14ac:dyDescent="0.35"/>
  <cols>
    <col min="1" max="1" width="20.6328125" customWidth="1"/>
    <col min="2" max="11" width="13.453125" bestFit="1" customWidth="1"/>
  </cols>
  <sheetData>
    <row r="1" spans="1:11" s="2" customFormat="1" x14ac:dyDescent="0.35">
      <c r="A1" s="2" t="str">
        <f>'Profit &amp; Loss'!A1</f>
        <v>TATA STEEL LTD</v>
      </c>
      <c r="E1" t="str">
        <f>UPDATE</f>
        <v/>
      </c>
      <c r="J1" s="2" t="s">
        <v>1</v>
      </c>
    </row>
    <row r="3" spans="1:11" s="2" customFormat="1" x14ac:dyDescent="0.35">
      <c r="A3" s="11" t="s">
        <v>2</v>
      </c>
      <c r="B3" s="12">
        <f>'Data Sheet'!B41</f>
        <v>45291</v>
      </c>
      <c r="C3" s="12">
        <f>'Data Sheet'!C41</f>
        <v>45382</v>
      </c>
      <c r="D3" s="12">
        <f>'Data Sheet'!D41</f>
        <v>45473</v>
      </c>
      <c r="E3" s="12">
        <f>'Data Sheet'!E41</f>
        <v>45565</v>
      </c>
      <c r="F3" s="12">
        <f>'Data Sheet'!F41</f>
        <v>45657</v>
      </c>
      <c r="G3" s="12">
        <f>'Data Sheet'!G41</f>
        <v>45747</v>
      </c>
      <c r="H3" s="12">
        <f>'Data Sheet'!H41</f>
        <v>45838</v>
      </c>
      <c r="I3" s="12">
        <f>'Data Sheet'!I41</f>
        <v>45930</v>
      </c>
      <c r="J3" s="12">
        <f>'Data Sheet'!J41</f>
        <v>46022</v>
      </c>
      <c r="K3" s="12">
        <f>'Data Sheet'!K41</f>
        <v>46112</v>
      </c>
    </row>
    <row r="4" spans="1:11" s="2" customFormat="1" x14ac:dyDescent="0.35">
      <c r="A4" s="2" t="s">
        <v>6</v>
      </c>
      <c r="B4" s="1">
        <f>'Data Sheet'!B42</f>
        <v>55311.88</v>
      </c>
      <c r="C4" s="1">
        <f>'Data Sheet'!C42</f>
        <v>58687.31</v>
      </c>
      <c r="D4" s="1">
        <f>'Data Sheet'!D42</f>
        <v>54771.39</v>
      </c>
      <c r="E4" s="1">
        <f>'Data Sheet'!E42</f>
        <v>53904.71</v>
      </c>
      <c r="F4" s="1">
        <f>'Data Sheet'!F42</f>
        <v>53648.3</v>
      </c>
      <c r="G4" s="1">
        <f>'Data Sheet'!G42</f>
        <v>56218.11</v>
      </c>
      <c r="H4" s="1">
        <f>'Data Sheet'!H42</f>
        <v>53178.12</v>
      </c>
      <c r="I4" s="1">
        <f>'Data Sheet'!I42</f>
        <v>58689.29</v>
      </c>
      <c r="J4" s="1">
        <f>'Data Sheet'!J42</f>
        <v>57002.400000000001</v>
      </c>
      <c r="K4" s="1">
        <f>'Data Sheet'!K42</f>
        <v>63270.13</v>
      </c>
    </row>
    <row r="5" spans="1:11" x14ac:dyDescent="0.35">
      <c r="A5" t="s">
        <v>7</v>
      </c>
      <c r="B5" s="6">
        <f>'Data Sheet'!B43</f>
        <v>49048.31</v>
      </c>
      <c r="C5" s="6">
        <f>'Data Sheet'!C43</f>
        <v>52086.68</v>
      </c>
      <c r="D5" s="6">
        <f>'Data Sheet'!D43</f>
        <v>48076.92</v>
      </c>
      <c r="E5" s="6">
        <f>'Data Sheet'!E43</f>
        <v>47788.92</v>
      </c>
      <c r="F5" s="6">
        <f>'Data Sheet'!F43</f>
        <v>47744.81</v>
      </c>
      <c r="G5" s="6">
        <f>'Data Sheet'!G43</f>
        <v>49658.89</v>
      </c>
      <c r="H5" s="6">
        <f>'Data Sheet'!H43</f>
        <v>45750.58</v>
      </c>
      <c r="I5" s="6">
        <f>'Data Sheet'!I43</f>
        <v>49792.75</v>
      </c>
      <c r="J5" s="6">
        <f>'Data Sheet'!J43</f>
        <v>48802.7</v>
      </c>
      <c r="K5" s="6">
        <f>'Data Sheet'!K43</f>
        <v>53441.47</v>
      </c>
    </row>
    <row r="6" spans="1:11" s="2" customFormat="1" x14ac:dyDescent="0.35">
      <c r="A6" s="2" t="s">
        <v>8</v>
      </c>
      <c r="B6" s="1">
        <f>'Data Sheet'!B50</f>
        <v>6263.57</v>
      </c>
      <c r="C6" s="1">
        <f>'Data Sheet'!C50</f>
        <v>6600.63</v>
      </c>
      <c r="D6" s="1">
        <f>'Data Sheet'!D50</f>
        <v>6694.47</v>
      </c>
      <c r="E6" s="1">
        <f>'Data Sheet'!E50</f>
        <v>6115.79</v>
      </c>
      <c r="F6" s="1">
        <f>'Data Sheet'!F50</f>
        <v>5903.49</v>
      </c>
      <c r="G6" s="1">
        <f>'Data Sheet'!G50</f>
        <v>6559.22</v>
      </c>
      <c r="H6" s="1">
        <f>'Data Sheet'!H50</f>
        <v>7427.54</v>
      </c>
      <c r="I6" s="1">
        <f>'Data Sheet'!I50</f>
        <v>8896.5400000000009</v>
      </c>
      <c r="J6" s="1">
        <f>'Data Sheet'!J50</f>
        <v>8199.7000000000007</v>
      </c>
      <c r="K6" s="1">
        <f>'Data Sheet'!K50</f>
        <v>9828.66</v>
      </c>
    </row>
    <row r="7" spans="1:11" x14ac:dyDescent="0.35">
      <c r="A7" t="s">
        <v>9</v>
      </c>
      <c r="B7" s="6">
        <f>'Data Sheet'!B44</f>
        <v>-32.840000000000003</v>
      </c>
      <c r="C7" s="6">
        <f>'Data Sheet'!C44</f>
        <v>-381.56</v>
      </c>
      <c r="D7" s="6">
        <f>'Data Sheet'!D44</f>
        <v>-5.51</v>
      </c>
      <c r="E7" s="6">
        <f>'Data Sheet'!E44</f>
        <v>616.67999999999995</v>
      </c>
      <c r="F7" s="6">
        <f>'Data Sheet'!F44</f>
        <v>141.82</v>
      </c>
      <c r="G7" s="6">
        <f>'Data Sheet'!G44</f>
        <v>149.19</v>
      </c>
      <c r="H7" s="6">
        <f>'Data Sheet'!H44</f>
        <v>236.27</v>
      </c>
      <c r="I7" s="6">
        <f>'Data Sheet'!I44</f>
        <v>-6.11</v>
      </c>
      <c r="J7" s="6">
        <f>'Data Sheet'!J44</f>
        <v>465.17</v>
      </c>
      <c r="K7" s="6">
        <f>'Data Sheet'!K44</f>
        <v>42.49</v>
      </c>
    </row>
    <row r="8" spans="1:11" x14ac:dyDescent="0.35">
      <c r="A8" t="s">
        <v>10</v>
      </c>
      <c r="B8" s="6">
        <f>'Data Sheet'!B45</f>
        <v>2422.04</v>
      </c>
      <c r="C8" s="6">
        <f>'Data Sheet'!C45</f>
        <v>2567.9499999999998</v>
      </c>
      <c r="D8" s="6">
        <f>'Data Sheet'!D45</f>
        <v>2535.4299999999998</v>
      </c>
      <c r="E8" s="6">
        <f>'Data Sheet'!E45</f>
        <v>2596.7399999999998</v>
      </c>
      <c r="F8" s="6">
        <f>'Data Sheet'!F45</f>
        <v>2569.19</v>
      </c>
      <c r="G8" s="6">
        <f>'Data Sheet'!G45</f>
        <v>2719.97</v>
      </c>
      <c r="H8" s="6">
        <f>'Data Sheet'!H45</f>
        <v>2744.3</v>
      </c>
      <c r="I8" s="6">
        <f>'Data Sheet'!I45</f>
        <v>2893</v>
      </c>
      <c r="J8" s="6">
        <f>'Data Sheet'!J45</f>
        <v>3048.81</v>
      </c>
      <c r="K8" s="6">
        <f>'Data Sheet'!K45</f>
        <v>3268.4</v>
      </c>
    </row>
    <row r="9" spans="1:11" x14ac:dyDescent="0.35">
      <c r="A9" t="s">
        <v>11</v>
      </c>
      <c r="B9" s="6">
        <f>'Data Sheet'!B46</f>
        <v>1880.78</v>
      </c>
      <c r="C9" s="6">
        <f>'Data Sheet'!C46</f>
        <v>1842.25</v>
      </c>
      <c r="D9" s="6">
        <f>'Data Sheet'!D46</f>
        <v>1776.71</v>
      </c>
      <c r="E9" s="6">
        <f>'Data Sheet'!E46</f>
        <v>1971.4</v>
      </c>
      <c r="F9" s="6">
        <f>'Data Sheet'!F46</f>
        <v>1804.09</v>
      </c>
      <c r="G9" s="6">
        <f>'Data Sheet'!G46</f>
        <v>1788.75</v>
      </c>
      <c r="H9" s="6">
        <f>'Data Sheet'!H46</f>
        <v>1852.43</v>
      </c>
      <c r="I9" s="6">
        <f>'Data Sheet'!I46</f>
        <v>1774.96</v>
      </c>
      <c r="J9" s="6">
        <f>'Data Sheet'!J46</f>
        <v>1747.29</v>
      </c>
      <c r="K9" s="6">
        <f>'Data Sheet'!K46</f>
        <v>1792.38</v>
      </c>
    </row>
    <row r="10" spans="1:11" x14ac:dyDescent="0.35">
      <c r="A10" t="s">
        <v>12</v>
      </c>
      <c r="B10" s="6">
        <f>'Data Sheet'!B47</f>
        <v>1927.91</v>
      </c>
      <c r="C10" s="6">
        <f>'Data Sheet'!C47</f>
        <v>1808.87</v>
      </c>
      <c r="D10" s="6">
        <f>'Data Sheet'!D47</f>
        <v>2376.8200000000002</v>
      </c>
      <c r="E10" s="6">
        <f>'Data Sheet'!E47</f>
        <v>2164.33</v>
      </c>
      <c r="F10" s="6">
        <f>'Data Sheet'!F47</f>
        <v>1672.03</v>
      </c>
      <c r="G10" s="6">
        <f>'Data Sheet'!G47</f>
        <v>2199.69</v>
      </c>
      <c r="H10" s="6">
        <f>'Data Sheet'!H47</f>
        <v>3067.08</v>
      </c>
      <c r="I10" s="6">
        <f>'Data Sheet'!I47</f>
        <v>4222.47</v>
      </c>
      <c r="J10" s="6">
        <f>'Data Sheet'!J47</f>
        <v>3868.77</v>
      </c>
      <c r="K10" s="6">
        <f>'Data Sheet'!K47</f>
        <v>4810.37</v>
      </c>
    </row>
    <row r="11" spans="1:11" x14ac:dyDescent="0.35">
      <c r="A11" t="s">
        <v>13</v>
      </c>
      <c r="B11" s="6">
        <f>'Data Sheet'!B48</f>
        <v>1405.77</v>
      </c>
      <c r="C11" s="6">
        <f>'Data Sheet'!C48</f>
        <v>1254.31</v>
      </c>
      <c r="D11" s="6">
        <f>'Data Sheet'!D48</f>
        <v>1458.25</v>
      </c>
      <c r="E11" s="6">
        <f>'Data Sheet'!E48</f>
        <v>1405.49</v>
      </c>
      <c r="F11" s="6">
        <f>'Data Sheet'!F48</f>
        <v>1376.54</v>
      </c>
      <c r="G11" s="6">
        <f>'Data Sheet'!G48</f>
        <v>998.81</v>
      </c>
      <c r="H11" s="6">
        <f>'Data Sheet'!H48</f>
        <v>1059.72</v>
      </c>
      <c r="I11" s="6">
        <f>'Data Sheet'!I48</f>
        <v>1039.3800000000001</v>
      </c>
      <c r="J11" s="6">
        <f>'Data Sheet'!J48</f>
        <v>1138.4000000000001</v>
      </c>
      <c r="K11" s="6">
        <f>'Data Sheet'!K48</f>
        <v>1845.37</v>
      </c>
    </row>
    <row r="12" spans="1:11" s="2" customFormat="1" x14ac:dyDescent="0.35">
      <c r="A12" s="2" t="s">
        <v>14</v>
      </c>
      <c r="B12" s="1">
        <f>'Data Sheet'!B49</f>
        <v>513.37</v>
      </c>
      <c r="C12" s="1">
        <f>'Data Sheet'!C49</f>
        <v>611.48</v>
      </c>
      <c r="D12" s="1">
        <f>'Data Sheet'!D49</f>
        <v>959.61</v>
      </c>
      <c r="E12" s="1">
        <f>'Data Sheet'!E49</f>
        <v>833.45</v>
      </c>
      <c r="F12" s="1">
        <f>'Data Sheet'!F49</f>
        <v>326.64</v>
      </c>
      <c r="G12" s="1">
        <f>'Data Sheet'!G49</f>
        <v>1300.81</v>
      </c>
      <c r="H12" s="1">
        <f>'Data Sheet'!H49</f>
        <v>2077.6799999999998</v>
      </c>
      <c r="I12" s="1">
        <f>'Data Sheet'!I49</f>
        <v>3101.75</v>
      </c>
      <c r="J12" s="1">
        <f>'Data Sheet'!J49</f>
        <v>2688.7</v>
      </c>
      <c r="K12" s="1">
        <f>'Data Sheet'!K49</f>
        <v>2925.74</v>
      </c>
    </row>
    <row r="14" spans="1:11" s="2" customFormat="1" x14ac:dyDescent="0.35">
      <c r="A14" s="2" t="s">
        <v>18</v>
      </c>
      <c r="B14" s="10">
        <f>IF(B4&gt;0,B6/B4,"")</f>
        <v>0.11324095293813914</v>
      </c>
      <c r="C14" s="10">
        <f t="shared" ref="C14:K14" si="0">IF(C4&gt;0,C6/C4,"")</f>
        <v>0.11247116284593722</v>
      </c>
      <c r="D14" s="10">
        <f t="shared" si="0"/>
        <v>0.12222567292887765</v>
      </c>
      <c r="E14" s="10">
        <f t="shared" si="0"/>
        <v>0.11345557744397475</v>
      </c>
      <c r="F14" s="10">
        <f t="shared" si="0"/>
        <v>0.11004057910502289</v>
      </c>
      <c r="G14" s="10">
        <f t="shared" si="0"/>
        <v>0.11667450222001416</v>
      </c>
      <c r="H14" s="10">
        <f t="shared" si="0"/>
        <v>0.13967285793480474</v>
      </c>
      <c r="I14" s="10">
        <f t="shared" si="0"/>
        <v>0.15158711240159833</v>
      </c>
      <c r="J14" s="10">
        <f t="shared" si="0"/>
        <v>0.14384832919315679</v>
      </c>
      <c r="K14" s="10">
        <f t="shared" si="0"/>
        <v>0.1553443939501942</v>
      </c>
    </row>
    <row r="22" s="23" customFormat="1" x14ac:dyDescent="0.35"/>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1">
    <pageSetUpPr fitToPage="1"/>
  </sheetPr>
  <dimension ref="A1:R39"/>
  <sheetViews>
    <sheetView zoomScale="125" workbookViewId="0">
      <pane xSplit="1" ySplit="3" topLeftCell="B21" activePane="bottomRight" state="frozen"/>
      <selection activeCell="C4" sqref="C4"/>
      <selection pane="topRight" activeCell="C4" sqref="C4"/>
      <selection pane="bottomLeft" activeCell="C4" sqref="C4"/>
      <selection pane="bottomRight" activeCell="F4" sqref="F4"/>
    </sheetView>
  </sheetViews>
  <sheetFormatPr defaultColWidth="8.81640625" defaultRowHeight="14.5" x14ac:dyDescent="0.35"/>
  <cols>
    <col min="1" max="1" width="22.81640625" bestFit="1" customWidth="1"/>
    <col min="2" max="2" width="13.453125" customWidth="1"/>
    <col min="3" max="11" width="15.453125" customWidth="1"/>
    <col min="13" max="13" width="24.81640625" bestFit="1" customWidth="1"/>
    <col min="14" max="18" width="9.6328125" bestFit="1" customWidth="1"/>
  </cols>
  <sheetData>
    <row r="1" spans="1:18" s="2" customFormat="1" x14ac:dyDescent="0.35">
      <c r="A1" s="2" t="str">
        <f>'Profit &amp; Loss'!A1</f>
        <v>TATA STEEL LTD</v>
      </c>
      <c r="E1" t="str">
        <f>UPDATE</f>
        <v/>
      </c>
      <c r="G1"/>
      <c r="J1" s="2" t="s">
        <v>1</v>
      </c>
    </row>
    <row r="2" spans="1:18" x14ac:dyDescent="0.35">
      <c r="G2" s="2"/>
      <c r="H2" s="2"/>
    </row>
    <row r="3" spans="1:18" x14ac:dyDescent="0.35">
      <c r="A3" s="11" t="s">
        <v>2</v>
      </c>
      <c r="B3" s="12">
        <f>'Data Sheet'!B56</f>
        <v>42825</v>
      </c>
      <c r="C3" s="12">
        <f>'Data Sheet'!C56</f>
        <v>43190</v>
      </c>
      <c r="D3" s="12">
        <f>'Data Sheet'!D56</f>
        <v>43555</v>
      </c>
      <c r="E3" s="12">
        <f>'Data Sheet'!E56</f>
        <v>43921</v>
      </c>
      <c r="F3" s="12">
        <f>'Data Sheet'!F56</f>
        <v>44286</v>
      </c>
      <c r="G3" s="12">
        <f>'Data Sheet'!G56</f>
        <v>44651</v>
      </c>
      <c r="H3" s="12">
        <f>'Data Sheet'!H56</f>
        <v>45016</v>
      </c>
      <c r="I3" s="12">
        <f>'Data Sheet'!I56</f>
        <v>45382</v>
      </c>
      <c r="J3" s="12">
        <f>'Data Sheet'!J56</f>
        <v>45747</v>
      </c>
      <c r="K3" s="12">
        <f>'Data Sheet'!K56</f>
        <v>46112</v>
      </c>
    </row>
    <row r="4" spans="1:18" ht="15" thickBot="1" x14ac:dyDescent="0.4">
      <c r="A4" t="s">
        <v>24</v>
      </c>
      <c r="B4" s="14">
        <f>'Data Sheet'!B57</f>
        <v>970.24</v>
      </c>
      <c r="C4" s="14">
        <f>'Data Sheet'!C57</f>
        <v>1144.95</v>
      </c>
      <c r="D4" s="14">
        <f>'Data Sheet'!D57</f>
        <v>1144.94</v>
      </c>
      <c r="E4" s="14">
        <f>'Data Sheet'!E57</f>
        <v>1144.95</v>
      </c>
      <c r="F4" s="14">
        <f>'Data Sheet'!F57</f>
        <v>1197.6099999999999</v>
      </c>
      <c r="G4" s="14">
        <f>'Data Sheet'!G57</f>
        <v>1221.21</v>
      </c>
      <c r="H4" s="14">
        <f>'Data Sheet'!H57</f>
        <v>1221.24</v>
      </c>
      <c r="I4" s="14">
        <f>'Data Sheet'!I57</f>
        <v>1247.44</v>
      </c>
      <c r="J4" s="14">
        <f>'Data Sheet'!J57</f>
        <v>1247.44</v>
      </c>
      <c r="K4" s="14">
        <f>'Data Sheet'!K57</f>
        <v>1247.44</v>
      </c>
      <c r="N4" s="54">
        <v>44621</v>
      </c>
      <c r="O4" s="54">
        <v>44986</v>
      </c>
      <c r="P4" s="54">
        <v>45352</v>
      </c>
      <c r="Q4" s="54">
        <v>45717</v>
      </c>
      <c r="R4" s="54">
        <v>46082</v>
      </c>
    </row>
    <row r="5" spans="1:18" x14ac:dyDescent="0.35">
      <c r="A5" t="s">
        <v>25</v>
      </c>
      <c r="B5" s="14">
        <f>'Data Sheet'!B58</f>
        <v>36849.08</v>
      </c>
      <c r="C5" s="14">
        <f>'Data Sheet'!C58</f>
        <v>59725.67</v>
      </c>
      <c r="D5" s="14">
        <f>'Data Sheet'!D58</f>
        <v>67780.14</v>
      </c>
      <c r="E5" s="14">
        <f>'Data Sheet'!E58</f>
        <v>72431.350000000006</v>
      </c>
      <c r="F5" s="14">
        <f>'Data Sheet'!F58</f>
        <v>73041.16</v>
      </c>
      <c r="G5" s="14">
        <f>'Data Sheet'!G58</f>
        <v>113221.83</v>
      </c>
      <c r="H5" s="14">
        <f>'Data Sheet'!H58</f>
        <v>101860.86</v>
      </c>
      <c r="I5" s="14">
        <f>'Data Sheet'!I58</f>
        <v>90788.32</v>
      </c>
      <c r="J5" s="14">
        <f>'Data Sheet'!J58</f>
        <v>89922.19</v>
      </c>
      <c r="K5" s="14">
        <f>'Data Sheet'!K58</f>
        <v>100920.21</v>
      </c>
      <c r="M5" s="55" t="s">
        <v>200</v>
      </c>
      <c r="N5" s="46">
        <v>1221</v>
      </c>
      <c r="O5" s="46">
        <v>1221</v>
      </c>
      <c r="P5" s="46">
        <v>1247</v>
      </c>
      <c r="Q5" s="46">
        <v>1247</v>
      </c>
      <c r="R5" s="46">
        <v>1247</v>
      </c>
    </row>
    <row r="6" spans="1:18" ht="15" thickBot="1" x14ac:dyDescent="0.4">
      <c r="A6" t="s">
        <v>137</v>
      </c>
      <c r="B6" s="14"/>
      <c r="C6" s="14">
        <f>((C4+C5)+(B4+B5))/2</f>
        <v>49344.97</v>
      </c>
      <c r="D6" s="14">
        <f t="shared" ref="D6:K6" si="0">((D4+D5)+(C4+C5))/2</f>
        <v>64897.85</v>
      </c>
      <c r="E6" s="14">
        <f t="shared" si="0"/>
        <v>71250.69</v>
      </c>
      <c r="F6" s="14">
        <f t="shared" si="0"/>
        <v>73907.535000000003</v>
      </c>
      <c r="G6" s="14">
        <f t="shared" si="0"/>
        <v>94340.904999999999</v>
      </c>
      <c r="H6" s="14">
        <f t="shared" si="0"/>
        <v>108762.57</v>
      </c>
      <c r="I6" s="14">
        <f t="shared" si="0"/>
        <v>97558.930000000008</v>
      </c>
      <c r="J6" s="14">
        <f t="shared" si="0"/>
        <v>91602.695000000007</v>
      </c>
      <c r="K6" s="14">
        <f t="shared" si="0"/>
        <v>96668.640000000014</v>
      </c>
      <c r="M6" s="57" t="s">
        <v>25</v>
      </c>
      <c r="N6" s="58">
        <v>113222</v>
      </c>
      <c r="O6" s="58">
        <v>101861</v>
      </c>
      <c r="P6" s="58">
        <v>90788</v>
      </c>
      <c r="Q6" s="58">
        <v>89922</v>
      </c>
      <c r="R6" s="58">
        <v>100920</v>
      </c>
    </row>
    <row r="7" spans="1:18" x14ac:dyDescent="0.35">
      <c r="A7" t="s">
        <v>71</v>
      </c>
      <c r="B7" s="14">
        <f>'Data Sheet'!B59</f>
        <v>83014.490000000005</v>
      </c>
      <c r="C7" s="14">
        <f>'Data Sheet'!C59</f>
        <v>92147.05</v>
      </c>
      <c r="D7" s="14">
        <f>'Data Sheet'!D59</f>
        <v>100816.22</v>
      </c>
      <c r="E7" s="14">
        <f>'Data Sheet'!E59</f>
        <v>116328.2</v>
      </c>
      <c r="F7" s="14">
        <f>'Data Sheet'!F59</f>
        <v>88501.41</v>
      </c>
      <c r="G7" s="14">
        <f>'Data Sheet'!G59</f>
        <v>75561.350000000006</v>
      </c>
      <c r="H7" s="14">
        <f>'Data Sheet'!H59</f>
        <v>84893.05</v>
      </c>
      <c r="I7" s="14">
        <f>'Data Sheet'!I59</f>
        <v>87082.12</v>
      </c>
      <c r="J7" s="14">
        <f>'Data Sheet'!J59</f>
        <v>94801.05</v>
      </c>
      <c r="K7" s="14">
        <f>'Data Sheet'!K59</f>
        <v>92381.68</v>
      </c>
      <c r="M7" s="59" t="s">
        <v>214</v>
      </c>
      <c r="N7" s="60">
        <v>75561</v>
      </c>
      <c r="O7" s="60">
        <v>84893</v>
      </c>
      <c r="P7" s="60">
        <v>87082</v>
      </c>
      <c r="Q7" s="60">
        <v>94801</v>
      </c>
      <c r="R7" s="60">
        <v>92382</v>
      </c>
    </row>
    <row r="8" spans="1:18" x14ac:dyDescent="0.35">
      <c r="A8" t="s">
        <v>72</v>
      </c>
      <c r="B8" s="14">
        <f>'Data Sheet'!B60</f>
        <v>51613.56</v>
      </c>
      <c r="C8" s="14">
        <f>'Data Sheet'!C60</f>
        <v>55704.47</v>
      </c>
      <c r="D8" s="14">
        <f>'Data Sheet'!D60</f>
        <v>63032.14</v>
      </c>
      <c r="E8" s="14">
        <f>'Data Sheet'!E60</f>
        <v>59244.62</v>
      </c>
      <c r="F8" s="14">
        <f>'Data Sheet'!F60</f>
        <v>81169.009999999995</v>
      </c>
      <c r="G8" s="14">
        <f>'Data Sheet'!G60</f>
        <v>92417.279999999999</v>
      </c>
      <c r="H8" s="14">
        <f>'Data Sheet'!H60</f>
        <v>97420.63</v>
      </c>
      <c r="I8" s="14">
        <f>'Data Sheet'!I60</f>
        <v>90194.54</v>
      </c>
      <c r="J8" s="14">
        <f>'Data Sheet'!J60</f>
        <v>89487.9</v>
      </c>
      <c r="K8" s="14">
        <f>'Data Sheet'!K60</f>
        <v>101965.29</v>
      </c>
      <c r="M8" s="61" t="s">
        <v>215</v>
      </c>
      <c r="N8" s="46">
        <v>44764</v>
      </c>
      <c r="O8" s="46">
        <v>51446</v>
      </c>
      <c r="P8" s="46">
        <v>51577</v>
      </c>
      <c r="Q8" s="46">
        <v>68552</v>
      </c>
      <c r="R8" s="46">
        <v>63754</v>
      </c>
    </row>
    <row r="9" spans="1:18" s="2" customFormat="1" x14ac:dyDescent="0.35">
      <c r="A9" s="2" t="s">
        <v>26</v>
      </c>
      <c r="B9" s="15">
        <f>'Data Sheet'!B61</f>
        <v>172447.37</v>
      </c>
      <c r="C9" s="15">
        <f>'Data Sheet'!C61</f>
        <v>208722.14</v>
      </c>
      <c r="D9" s="15">
        <f>'Data Sheet'!D61</f>
        <v>232773.44</v>
      </c>
      <c r="E9" s="15">
        <f>'Data Sheet'!E61</f>
        <v>249149.12</v>
      </c>
      <c r="F9" s="15">
        <f>'Data Sheet'!F61</f>
        <v>243909.19</v>
      </c>
      <c r="G9" s="15">
        <f>'Data Sheet'!G61</f>
        <v>282421.67</v>
      </c>
      <c r="H9" s="15">
        <f>'Data Sheet'!H61</f>
        <v>285395.78000000003</v>
      </c>
      <c r="I9" s="15">
        <f>'Data Sheet'!I61</f>
        <v>269312.42</v>
      </c>
      <c r="J9" s="15">
        <f>'Data Sheet'!J61</f>
        <v>275458.58</v>
      </c>
      <c r="K9" s="15">
        <f>'Data Sheet'!K61</f>
        <v>296514.62</v>
      </c>
      <c r="M9" s="61" t="s">
        <v>216</v>
      </c>
      <c r="N9" s="46">
        <v>24065</v>
      </c>
      <c r="O9" s="46">
        <v>26571</v>
      </c>
      <c r="P9" s="46">
        <v>29997</v>
      </c>
      <c r="Q9" s="46">
        <v>20412</v>
      </c>
      <c r="R9" s="46">
        <v>21203</v>
      </c>
    </row>
    <row r="10" spans="1:18" s="2" customFormat="1" x14ac:dyDescent="0.35">
      <c r="A10" s="2" t="s">
        <v>120</v>
      </c>
      <c r="B10" s="15"/>
      <c r="C10" s="15"/>
      <c r="D10" s="15"/>
      <c r="E10" s="15"/>
      <c r="F10" s="15"/>
      <c r="G10" s="46">
        <v>44764</v>
      </c>
      <c r="H10" s="46">
        <v>51446</v>
      </c>
      <c r="I10" s="46">
        <v>51577</v>
      </c>
      <c r="J10" s="46">
        <v>68552</v>
      </c>
      <c r="K10" s="46">
        <v>63754</v>
      </c>
      <c r="M10" s="61" t="s">
        <v>217</v>
      </c>
      <c r="N10" s="46">
        <v>6733</v>
      </c>
      <c r="O10" s="46">
        <v>6875</v>
      </c>
      <c r="P10" s="46">
        <v>5508</v>
      </c>
      <c r="Q10" s="46">
        <v>5837</v>
      </c>
      <c r="R10" s="46">
        <v>7425</v>
      </c>
    </row>
    <row r="11" spans="1:18" x14ac:dyDescent="0.35">
      <c r="A11" t="s">
        <v>27</v>
      </c>
      <c r="B11" s="14">
        <f>'Data Sheet'!B62</f>
        <v>92006.55</v>
      </c>
      <c r="C11" s="14">
        <f>'Data Sheet'!C62</f>
        <v>96104.89</v>
      </c>
      <c r="D11" s="14">
        <f>'Data Sheet'!D62</f>
        <v>124441.91</v>
      </c>
      <c r="E11" s="14">
        <f>'Data Sheet'!E62</f>
        <v>134550.66</v>
      </c>
      <c r="F11" s="14">
        <f>'Data Sheet'!F62</f>
        <v>135775.18</v>
      </c>
      <c r="G11" s="14">
        <f>'Data Sheet'!G62</f>
        <v>133287.82999999999</v>
      </c>
      <c r="H11" s="14">
        <f>'Data Sheet'!H62</f>
        <v>146621.46</v>
      </c>
      <c r="I11" s="14">
        <f>'Data Sheet'!I62</f>
        <v>148814.38</v>
      </c>
      <c r="J11" s="14">
        <f>'Data Sheet'!J62</f>
        <v>150914.06</v>
      </c>
      <c r="K11" s="14">
        <f>'Data Sheet'!K62</f>
        <v>179908.13</v>
      </c>
      <c r="M11" s="61" t="s">
        <v>218</v>
      </c>
      <c r="N11" s="56">
        <v>0</v>
      </c>
      <c r="O11" s="56">
        <v>0</v>
      </c>
      <c r="P11" s="56">
        <v>0</v>
      </c>
      <c r="Q11" s="56">
        <v>0</v>
      </c>
      <c r="R11" s="56">
        <v>0</v>
      </c>
    </row>
    <row r="12" spans="1:18" ht="15" thickBot="1" x14ac:dyDescent="0.4">
      <c r="A12" t="s">
        <v>28</v>
      </c>
      <c r="B12" s="14">
        <f>'Data Sheet'!B63</f>
        <v>15784.13</v>
      </c>
      <c r="C12" s="14">
        <f>'Data Sheet'!C63</f>
        <v>16614.41</v>
      </c>
      <c r="D12" s="14">
        <f>'Data Sheet'!D63</f>
        <v>18641.21</v>
      </c>
      <c r="E12" s="14">
        <f>'Data Sheet'!E63</f>
        <v>19496.830000000002</v>
      </c>
      <c r="F12" s="14">
        <f>'Data Sheet'!F63</f>
        <v>19007.400000000001</v>
      </c>
      <c r="G12" s="14">
        <f>'Data Sheet'!G63</f>
        <v>22045.55</v>
      </c>
      <c r="H12" s="14">
        <f>'Data Sheet'!H63</f>
        <v>31213.02</v>
      </c>
      <c r="I12" s="14">
        <f>'Data Sheet'!I63</f>
        <v>34355.53</v>
      </c>
      <c r="J12" s="14">
        <f>'Data Sheet'!J63</f>
        <v>41622.35</v>
      </c>
      <c r="K12" s="14">
        <f>'Data Sheet'!K63</f>
        <v>28496.71</v>
      </c>
      <c r="M12" s="61" t="s">
        <v>219</v>
      </c>
      <c r="N12" s="56">
        <v>0</v>
      </c>
      <c r="O12" s="56">
        <v>0</v>
      </c>
      <c r="P12" s="56">
        <v>0</v>
      </c>
      <c r="Q12" s="56">
        <v>0</v>
      </c>
      <c r="R12" s="56">
        <v>0</v>
      </c>
    </row>
    <row r="13" spans="1:18" x14ac:dyDescent="0.35">
      <c r="A13" t="s">
        <v>29</v>
      </c>
      <c r="B13" s="14">
        <f>'Data Sheet'!B64</f>
        <v>12457.12</v>
      </c>
      <c r="C13" s="14">
        <f>'Data Sheet'!C64</f>
        <v>17899.47</v>
      </c>
      <c r="D13" s="14">
        <f>'Data Sheet'!D64</f>
        <v>5738.17</v>
      </c>
      <c r="E13" s="14">
        <f>'Data Sheet'!E64</f>
        <v>6285.18</v>
      </c>
      <c r="F13" s="14">
        <f>'Data Sheet'!F64</f>
        <v>10681.93</v>
      </c>
      <c r="G13" s="14">
        <f>'Data Sheet'!G64</f>
        <v>13139.85</v>
      </c>
      <c r="H13" s="14">
        <f>'Data Sheet'!H64</f>
        <v>8410.31</v>
      </c>
      <c r="I13" s="14">
        <f>'Data Sheet'!I64</f>
        <v>6257.57</v>
      </c>
      <c r="J13" s="14">
        <f>'Data Sheet'!J64</f>
        <v>6194.11</v>
      </c>
      <c r="K13" s="14">
        <f>'Data Sheet'!K64</f>
        <v>7088.85</v>
      </c>
      <c r="M13" s="62" t="s">
        <v>220</v>
      </c>
      <c r="N13" s="63">
        <v>92417</v>
      </c>
      <c r="O13" s="63">
        <v>97421</v>
      </c>
      <c r="P13" s="63">
        <v>90195</v>
      </c>
      <c r="Q13" s="63">
        <v>89488</v>
      </c>
      <c r="R13" s="63">
        <v>101965</v>
      </c>
    </row>
    <row r="14" spans="1:18" x14ac:dyDescent="0.35">
      <c r="A14" t="s">
        <v>73</v>
      </c>
      <c r="B14" s="14">
        <f>'Data Sheet'!B65</f>
        <v>52199.57</v>
      </c>
      <c r="C14" s="14">
        <f>'Data Sheet'!C65</f>
        <v>78103.37</v>
      </c>
      <c r="D14" s="14">
        <f>'Data Sheet'!D65</f>
        <v>83952.15</v>
      </c>
      <c r="E14" s="14">
        <f>'Data Sheet'!E65</f>
        <v>88816.45</v>
      </c>
      <c r="F14" s="14">
        <f>'Data Sheet'!F65</f>
        <v>78444.679999999993</v>
      </c>
      <c r="G14" s="14">
        <f>'Data Sheet'!G65</f>
        <v>113948.44</v>
      </c>
      <c r="H14" s="14">
        <f>'Data Sheet'!H65</f>
        <v>99150.99</v>
      </c>
      <c r="I14" s="14">
        <f>'Data Sheet'!I65</f>
        <v>79884.94</v>
      </c>
      <c r="J14" s="14">
        <f>'Data Sheet'!J65</f>
        <v>76728.06</v>
      </c>
      <c r="K14" s="14">
        <f>'Data Sheet'!K65</f>
        <v>81020.929999999993</v>
      </c>
      <c r="M14" s="64" t="s">
        <v>221</v>
      </c>
      <c r="N14" s="58">
        <v>2655</v>
      </c>
      <c r="O14" s="58">
        <v>2093</v>
      </c>
      <c r="P14" s="65">
        <v>397</v>
      </c>
      <c r="Q14" s="65">
        <v>183</v>
      </c>
      <c r="R14" s="58">
        <v>1613</v>
      </c>
    </row>
    <row r="15" spans="1:18" s="2" customFormat="1" x14ac:dyDescent="0.35">
      <c r="A15" s="2" t="s">
        <v>26</v>
      </c>
      <c r="B15" s="14">
        <f>'Data Sheet'!B66</f>
        <v>172447.37</v>
      </c>
      <c r="C15" s="14">
        <f>'Data Sheet'!C66</f>
        <v>208722.14</v>
      </c>
      <c r="D15" s="14">
        <f>'Data Sheet'!D66</f>
        <v>232773.44</v>
      </c>
      <c r="E15" s="14">
        <f>'Data Sheet'!E66</f>
        <v>249149.12</v>
      </c>
      <c r="F15" s="14">
        <f>'Data Sheet'!F66</f>
        <v>243909.19</v>
      </c>
      <c r="G15" s="14">
        <f>'Data Sheet'!G66</f>
        <v>282421.67</v>
      </c>
      <c r="H15" s="14">
        <f>'Data Sheet'!H66</f>
        <v>285395.78000000003</v>
      </c>
      <c r="I15" s="14">
        <f>'Data Sheet'!I66</f>
        <v>269312.42</v>
      </c>
      <c r="J15" s="14">
        <f>'Data Sheet'!J66</f>
        <v>275458.58</v>
      </c>
      <c r="K15" s="14">
        <f>'Data Sheet'!K66</f>
        <v>296514.62</v>
      </c>
      <c r="M15" s="64" t="s">
        <v>205</v>
      </c>
      <c r="N15" s="58">
        <v>36765</v>
      </c>
      <c r="O15" s="58">
        <v>37833</v>
      </c>
      <c r="P15" s="58">
        <v>30228</v>
      </c>
      <c r="Q15" s="58">
        <v>29314</v>
      </c>
      <c r="R15" s="58">
        <v>34810</v>
      </c>
    </row>
    <row r="16" spans="1:18" x14ac:dyDescent="0.35">
      <c r="A16" t="s">
        <v>137</v>
      </c>
      <c r="B16" s="4"/>
      <c r="C16" s="14">
        <f>((C14+C15)+(B14+B15))/2</f>
        <v>255736.22500000001</v>
      </c>
      <c r="D16" s="14">
        <f t="shared" ref="D16:K16" si="1">((D14+D15)+(C14+C15))/2</f>
        <v>301775.55</v>
      </c>
      <c r="E16" s="14">
        <f t="shared" si="1"/>
        <v>327345.57999999996</v>
      </c>
      <c r="F16" s="14">
        <f t="shared" si="1"/>
        <v>330159.71999999997</v>
      </c>
      <c r="G16" s="14">
        <f t="shared" si="1"/>
        <v>359361.99</v>
      </c>
      <c r="H16" s="14">
        <f t="shared" si="1"/>
        <v>390458.44</v>
      </c>
      <c r="I16" s="14">
        <f t="shared" si="1"/>
        <v>366872.065</v>
      </c>
      <c r="J16" s="14">
        <f t="shared" si="1"/>
        <v>350692</v>
      </c>
      <c r="K16" s="14">
        <f t="shared" si="1"/>
        <v>364861.09499999997</v>
      </c>
      <c r="M16" s="64" t="s">
        <v>222</v>
      </c>
      <c r="N16" s="58">
        <v>3253</v>
      </c>
      <c r="O16" s="58">
        <v>3394</v>
      </c>
      <c r="P16" s="58">
        <v>2771</v>
      </c>
      <c r="Q16" s="58">
        <v>1655</v>
      </c>
      <c r="R16" s="58">
        <v>2222</v>
      </c>
    </row>
    <row r="17" spans="1:18" ht="15" thickBot="1" x14ac:dyDescent="0.4">
      <c r="A17" t="s">
        <v>30</v>
      </c>
      <c r="B17" s="4">
        <f>B14-B8</f>
        <v>586.01000000000204</v>
      </c>
      <c r="C17" s="4">
        <f t="shared" ref="C17:K17" si="2">C14-C8</f>
        <v>22398.899999999994</v>
      </c>
      <c r="D17" s="4">
        <f t="shared" si="2"/>
        <v>20920.009999999995</v>
      </c>
      <c r="E17" s="4">
        <f t="shared" si="2"/>
        <v>29571.829999999994</v>
      </c>
      <c r="F17" s="4">
        <f t="shared" si="2"/>
        <v>-2724.3300000000017</v>
      </c>
      <c r="G17" s="4">
        <f t="shared" si="2"/>
        <v>21531.160000000003</v>
      </c>
      <c r="H17" s="4">
        <f t="shared" si="2"/>
        <v>1730.3600000000006</v>
      </c>
      <c r="I17" s="4">
        <f t="shared" si="2"/>
        <v>-10309.599999999991</v>
      </c>
      <c r="J17" s="4">
        <f t="shared" si="2"/>
        <v>-12759.839999999997</v>
      </c>
      <c r="K17" s="4">
        <f t="shared" si="2"/>
        <v>-20944.36</v>
      </c>
      <c r="M17" s="64" t="s">
        <v>223</v>
      </c>
      <c r="N17" s="58">
        <v>49744</v>
      </c>
      <c r="O17" s="58">
        <v>54101</v>
      </c>
      <c r="P17" s="58">
        <v>56799</v>
      </c>
      <c r="Q17" s="58">
        <v>58335</v>
      </c>
      <c r="R17" s="58">
        <v>63320</v>
      </c>
    </row>
    <row r="18" spans="1:18" ht="15" thickBot="1" x14ac:dyDescent="0.4">
      <c r="A18" t="s">
        <v>44</v>
      </c>
      <c r="B18" s="4">
        <f>'Data Sheet'!B67</f>
        <v>11586.82</v>
      </c>
      <c r="C18" s="4">
        <f>'Data Sheet'!C67</f>
        <v>12415.52</v>
      </c>
      <c r="D18" s="4">
        <f>'Data Sheet'!D67</f>
        <v>11811</v>
      </c>
      <c r="E18" s="4">
        <f>'Data Sheet'!E67</f>
        <v>7884.91</v>
      </c>
      <c r="F18" s="4">
        <f>'Data Sheet'!F67</f>
        <v>9539.84</v>
      </c>
      <c r="G18" s="4">
        <f>'Data Sheet'!G67</f>
        <v>12246.43</v>
      </c>
      <c r="H18" s="4">
        <f>'Data Sheet'!H67</f>
        <v>8257.24</v>
      </c>
      <c r="I18" s="4">
        <f>'Data Sheet'!I67</f>
        <v>6263.53</v>
      </c>
      <c r="J18" s="4">
        <f>'Data Sheet'!J67</f>
        <v>5260.06</v>
      </c>
      <c r="K18" s="4">
        <f>'Data Sheet'!K67</f>
        <v>4916.8900000000003</v>
      </c>
      <c r="M18" s="59" t="s">
        <v>224</v>
      </c>
      <c r="N18" s="60">
        <v>282422</v>
      </c>
      <c r="O18" s="60">
        <v>285396</v>
      </c>
      <c r="P18" s="60">
        <v>269312</v>
      </c>
      <c r="Q18" s="60">
        <v>275459</v>
      </c>
      <c r="R18" s="60">
        <v>296515</v>
      </c>
    </row>
    <row r="19" spans="1:18" x14ac:dyDescent="0.35">
      <c r="A19" t="s">
        <v>45</v>
      </c>
      <c r="B19" s="4">
        <f>'Data Sheet'!B68</f>
        <v>24803.82</v>
      </c>
      <c r="C19" s="4">
        <f>'Data Sheet'!C68</f>
        <v>28331.040000000001</v>
      </c>
      <c r="D19" s="4">
        <f>'Data Sheet'!D68</f>
        <v>31656.1</v>
      </c>
      <c r="E19" s="4">
        <f>'Data Sheet'!E68</f>
        <v>31068.720000000001</v>
      </c>
      <c r="F19" s="4">
        <f>'Data Sheet'!F68</f>
        <v>33276.379999999997</v>
      </c>
      <c r="G19" s="4">
        <f>'Data Sheet'!G68</f>
        <v>48824.39</v>
      </c>
      <c r="H19" s="4">
        <f>'Data Sheet'!H68</f>
        <v>54415.33</v>
      </c>
      <c r="I19" s="4">
        <f>'Data Sheet'!I68</f>
        <v>49157.51</v>
      </c>
      <c r="J19" s="4">
        <f>'Data Sheet'!J68</f>
        <v>44589.94</v>
      </c>
      <c r="K19" s="4">
        <f>'Data Sheet'!K68</f>
        <v>47249.22</v>
      </c>
      <c r="M19" s="62" t="s">
        <v>225</v>
      </c>
      <c r="N19" s="63">
        <v>133288</v>
      </c>
      <c r="O19" s="63">
        <v>146621</v>
      </c>
      <c r="P19" s="63">
        <v>148814</v>
      </c>
      <c r="Q19" s="63">
        <v>150914</v>
      </c>
      <c r="R19" s="63">
        <v>179908</v>
      </c>
    </row>
    <row r="20" spans="1:18" x14ac:dyDescent="0.35">
      <c r="M20" s="64" t="s">
        <v>226</v>
      </c>
      <c r="N20" s="58">
        <v>20770</v>
      </c>
      <c r="O20" s="58">
        <v>21701</v>
      </c>
      <c r="P20" s="58">
        <v>22067</v>
      </c>
      <c r="Q20" s="58">
        <v>22299</v>
      </c>
      <c r="R20" s="58">
        <v>23659</v>
      </c>
    </row>
    <row r="21" spans="1:18" x14ac:dyDescent="0.35">
      <c r="A21" t="s">
        <v>46</v>
      </c>
      <c r="B21" s="4">
        <f>IF('Profit &amp; Loss'!B4&gt;0,'Balance Sheet'!B18/('Profit &amp; Loss'!B4/365),0)</f>
        <v>37.659938938242064</v>
      </c>
      <c r="C21" s="4">
        <f>IF('Profit &amp; Loss'!C4&gt;0,'Balance Sheet'!C18/('Profit &amp; Loss'!C4/365),0)</f>
        <v>36.76834884027928</v>
      </c>
      <c r="D21" s="4">
        <f>IF('Profit &amp; Loss'!D4&gt;0,'Balance Sheet'!D18/('Profit &amp; Loss'!D4/365),0)</f>
        <v>27.342186944940792</v>
      </c>
      <c r="E21" s="4">
        <f>IF('Profit &amp; Loss'!E4&gt;0,'Balance Sheet'!E18/('Profit &amp; Loss'!E4/365),0)</f>
        <v>20.584044532607525</v>
      </c>
      <c r="F21" s="4">
        <f>IF('Profit &amp; Loss'!F4&gt;0,'Balance Sheet'!F18/('Profit &amp; Loss'!F4/365),0)</f>
        <v>22.252680578792848</v>
      </c>
      <c r="G21" s="4">
        <f>IF('Profit &amp; Loss'!G4&gt;0,'Balance Sheet'!G18/('Profit &amp; Loss'!G4/365),0)</f>
        <v>18.32252073164538</v>
      </c>
      <c r="H21" s="4">
        <f>IF('Profit &amp; Loss'!H4&gt;0,'Balance Sheet'!H18/('Profit &amp; Loss'!H4/365),0)</f>
        <v>12.384874808657344</v>
      </c>
      <c r="I21" s="4">
        <f>IF('Profit &amp; Loss'!I4&gt;0,'Balance Sheet'!I18/('Profit &amp; Loss'!I4/365),0)</f>
        <v>9.9759159959223425</v>
      </c>
      <c r="J21" s="4">
        <f>IF('Profit &amp; Loss'!J4&gt;0,'Balance Sheet'!J18/('Profit &amp; Loss'!J4/365),0)</f>
        <v>8.7851187395989907</v>
      </c>
      <c r="K21" s="4">
        <f>IF('Profit &amp; Loss'!K4&gt;0,'Balance Sheet'!K18/('Profit &amp; Loss'!K4/365),0)</f>
        <v>7.7309611176775528</v>
      </c>
      <c r="M21" s="64" t="s">
        <v>207</v>
      </c>
      <c r="N21" s="58">
        <v>27588</v>
      </c>
      <c r="O21" s="58">
        <v>28904</v>
      </c>
      <c r="P21" s="58">
        <v>30173</v>
      </c>
      <c r="Q21" s="58">
        <v>31819</v>
      </c>
      <c r="R21" s="58">
        <v>36997</v>
      </c>
    </row>
    <row r="22" spans="1:18" x14ac:dyDescent="0.35">
      <c r="A22" t="s">
        <v>47</v>
      </c>
      <c r="B22" s="4">
        <f>IF('Balance Sheet'!B19&gt;0,'Profit &amp; Loss'!B4/'Balance Sheet'!B19,0)</f>
        <v>4.527505037530509</v>
      </c>
      <c r="C22" s="4">
        <f>IF('Balance Sheet'!C19&gt;0,'Profit &amp; Loss'!C4/'Balance Sheet'!C19,0)</f>
        <v>4.3503192964324642</v>
      </c>
      <c r="D22" s="4">
        <f>IF('Balance Sheet'!D19&gt;0,'Profit &amp; Loss'!D4/'Balance Sheet'!D19,0)</f>
        <v>4.980682712020748</v>
      </c>
      <c r="E22" s="4">
        <f>IF('Balance Sheet'!E19&gt;0,'Profit &amp; Loss'!E4/'Balance Sheet'!E19,0)</f>
        <v>4.50023850354955</v>
      </c>
      <c r="F22" s="4">
        <f>IF('Balance Sheet'!F19&gt;0,'Profit &amp; Loss'!F4/'Balance Sheet'!F19,0)</f>
        <v>4.7023564462240186</v>
      </c>
      <c r="G22" s="4">
        <f>IF('Balance Sheet'!G19&gt;0,'Profit &amp; Loss'!G4/'Balance Sheet'!G19,0)</f>
        <v>4.9966660105738141</v>
      </c>
      <c r="H22" s="4">
        <f>IF('Balance Sheet'!H19&gt;0,'Profit &amp; Loss'!H4/'Balance Sheet'!H19,0)</f>
        <v>4.4721347826062985</v>
      </c>
      <c r="I22" s="4">
        <f>IF('Balance Sheet'!I19&gt;0,'Profit &amp; Loss'!I4/'Balance Sheet'!I19,0)</f>
        <v>4.6619688426041108</v>
      </c>
      <c r="J22" s="4">
        <f>IF('Balance Sheet'!J19&gt;0,'Profit &amp; Loss'!J4/'Balance Sheet'!J19,0)</f>
        <v>4.9011617867169139</v>
      </c>
      <c r="K22" s="4">
        <f>IF('Balance Sheet'!K19&gt;0,'Profit &amp; Loss'!K4/'Balance Sheet'!K19,0)</f>
        <v>4.9130957082466127</v>
      </c>
      <c r="M22" s="64" t="s">
        <v>227</v>
      </c>
      <c r="N22" s="58">
        <v>152754</v>
      </c>
      <c r="O22" s="58">
        <v>163134</v>
      </c>
      <c r="P22" s="58">
        <v>175111</v>
      </c>
      <c r="Q22" s="58">
        <v>186115</v>
      </c>
      <c r="R22" s="58">
        <v>224912</v>
      </c>
    </row>
    <row r="23" spans="1:18" x14ac:dyDescent="0.35">
      <c r="M23" s="64" t="s">
        <v>208</v>
      </c>
      <c r="N23" s="65">
        <v>0</v>
      </c>
      <c r="O23" s="65">
        <v>0</v>
      </c>
      <c r="P23" s="65">
        <v>0</v>
      </c>
      <c r="Q23" s="65">
        <v>0</v>
      </c>
      <c r="R23" s="65">
        <v>0</v>
      </c>
    </row>
    <row r="24" spans="1:18" s="2" customFormat="1" x14ac:dyDescent="0.35">
      <c r="A24" s="2" t="s">
        <v>59</v>
      </c>
      <c r="B24" s="10">
        <f>IF(SUM('Balance Sheet'!B4:B5)&gt;0,'Profit &amp; Loss'!B12/SUM('Balance Sheet'!B4:B5),"")</f>
        <v>-0.11213316368459296</v>
      </c>
      <c r="C24" s="10">
        <f>IF(SUM('Balance Sheet'!C4:C5)&gt;0,'Profit &amp; Loss'!C12/SUM('Balance Sheet'!C4:C5),"")</f>
        <v>0.22070302553185758</v>
      </c>
      <c r="D24" s="10">
        <f>IF(SUM('Balance Sheet'!D4:D5)&gt;0,'Profit &amp; Loss'!D12/SUM('Balance Sheet'!D4:D5),"")</f>
        <v>0.14825271149485789</v>
      </c>
      <c r="E24" s="10">
        <f>IF(SUM('Balance Sheet'!E4:E5)&gt;0,'Profit &amp; Loss'!E12/SUM('Balance Sheet'!E4:E5),"")</f>
        <v>2.1155453590354503E-2</v>
      </c>
      <c r="F24" s="10">
        <f>IF(SUM('Balance Sheet'!F4:F5)&gt;0,'Profit &amp; Loss'!F12/SUM('Balance Sheet'!F4:F5),"")</f>
        <v>0.10089364357733836</v>
      </c>
      <c r="G24" s="10">
        <f>IF(SUM('Balance Sheet'!G4:G5)&gt;0,'Profit &amp; Loss'!G12/SUM('Balance Sheet'!G4:G5),"")</f>
        <v>0.35086388827140558</v>
      </c>
      <c r="H24" s="10">
        <f>IF(SUM('Balance Sheet'!H4:H5)&gt;0,'Profit &amp; Loss'!H12/SUM('Balance Sheet'!H4:H5),"")</f>
        <v>8.4984686963109984E-2</v>
      </c>
      <c r="I24" s="10">
        <f>IF(SUM('Balance Sheet'!I4:I5)&gt;0,'Profit &amp; Loss'!I12/SUM('Balance Sheet'!I4:I5),"")</f>
        <v>-4.8214302788394413E-2</v>
      </c>
      <c r="J24" s="10">
        <f>IF(SUM('Balance Sheet'!J4:J5)&gt;0,'Profit &amp; Loss'!J12/SUM('Balance Sheet'!J4:J5),"")</f>
        <v>3.7518085792385032E-2</v>
      </c>
      <c r="K24" s="10">
        <f>IF(SUM('Balance Sheet'!K4:K5)&gt;0,'Profit &amp; Loss'!K12/SUM('Balance Sheet'!K4:K5),"")</f>
        <v>0.10564860794977667</v>
      </c>
      <c r="M24" s="64" t="s">
        <v>228</v>
      </c>
      <c r="N24" s="65">
        <v>991</v>
      </c>
      <c r="O24" s="58">
        <v>1111</v>
      </c>
      <c r="P24" s="58">
        <v>1238</v>
      </c>
      <c r="Q24" s="58">
        <v>1298</v>
      </c>
      <c r="R24" s="58">
        <v>1429</v>
      </c>
    </row>
    <row r="25" spans="1:18" s="2" customFormat="1" x14ac:dyDescent="0.35">
      <c r="A25" s="2" t="s">
        <v>60</v>
      </c>
      <c r="B25" s="10"/>
      <c r="C25" s="10">
        <f>IF((B4+B5+B7+C4+C5+C7)&gt;0,('Profit &amp; Loss'!C10+'Profit &amp; Loss'!C9)*2/(B4+B5+B7+C4+C5+C7),"")</f>
        <v>0.19419212194872931</v>
      </c>
      <c r="D25" s="10">
        <f>IF((C4+C5+C7+D4+D5+D7)&gt;0,('Profit &amp; Loss'!D10+'Profit &amp; Loss'!D9)*2/(C4+C5+C7+D4+D5+D7),"")</f>
        <v>0.14562383812291879</v>
      </c>
      <c r="E25" s="10">
        <f>IF((D4+D5+D7+E4+E5+E7)&gt;0,('Profit &amp; Loss'!E10+'Profit &amp; Loss'!E9)*2/(D4+D5+D7+E4+E5+E7),"")</f>
        <v>3.4137476372586587E-2</v>
      </c>
      <c r="F25" s="10">
        <f>IF((E4+E5+E7+F4+F5+F7)&gt;0,('Profit &amp; Loss'!F10+'Profit &amp; Loss'!F9)*2/(E4+E5+E7+F4+F5+F7),"")</f>
        <v>0.12165446533887878</v>
      </c>
      <c r="G25" s="10">
        <f>IF((F4+F5+F7+G4+G5+G7)&gt;0,('Profit &amp; Loss'!G10+'Profit &amp; Loss'!G9)*2/(F4+F5+F7+G4+G5+G7),"")</f>
        <v>0.31574728421758558</v>
      </c>
      <c r="H25" s="10">
        <f>IF((G4+G5+G7+H4+H5+H7)&gt;0,('Profit &amp; Loss'!H10+'Profit &amp; Loss'!H9)*2/(G4+G5+G7+H4+H5+H7),"")</f>
        <v>0.12981559795538139</v>
      </c>
      <c r="I25" s="10">
        <f>IF((H4+H5+H7+I4+I5+I7)&gt;0,('Profit &amp; Loss'!I10+'Profit &amp; Loss'!I9)*2/(H4+H5+H7+I4+I5+I7),"")</f>
        <v>3.4653504589831081E-2</v>
      </c>
      <c r="J25" s="10">
        <f>IF((I4+I5+I7+J4+J5+J7)&gt;0,('Profit &amp; Loss'!J10+'Profit &amp; Loss'!J9)*2/(I4+I5+I7+J4+J5+J7),"")</f>
        <v>8.6301362058564632E-2</v>
      </c>
      <c r="K25" s="10">
        <f>IF((J4+J5+J7+K4+K5+K7)&gt;0,('Profit &amp; Loss'!K10+'Profit &amp; Loss'!K9)*2/(J4+J5+J7+K4+K5+K7),"")</f>
        <v>0.12160070110373433</v>
      </c>
      <c r="M25" s="64" t="s">
        <v>229</v>
      </c>
      <c r="N25" s="58">
        <v>1780</v>
      </c>
      <c r="O25" s="58">
        <v>1841</v>
      </c>
      <c r="P25" s="58">
        <v>1872</v>
      </c>
      <c r="Q25" s="58">
        <v>1890</v>
      </c>
      <c r="R25" s="58">
        <v>2384</v>
      </c>
    </row>
    <row r="26" spans="1:18" x14ac:dyDescent="0.35">
      <c r="M26" s="64" t="s">
        <v>209</v>
      </c>
      <c r="N26" s="65">
        <v>686</v>
      </c>
      <c r="O26" s="65">
        <v>749</v>
      </c>
      <c r="P26" s="65">
        <v>794</v>
      </c>
      <c r="Q26" s="65">
        <v>830</v>
      </c>
      <c r="R26" s="65">
        <v>978</v>
      </c>
    </row>
    <row r="27" spans="1:18" x14ac:dyDescent="0.35">
      <c r="M27" s="64" t="s">
        <v>210</v>
      </c>
      <c r="N27" s="58">
        <v>6229</v>
      </c>
      <c r="O27" s="58">
        <v>7572</v>
      </c>
      <c r="P27" s="58">
        <v>7772</v>
      </c>
      <c r="Q27" s="58">
        <v>7896</v>
      </c>
      <c r="R27" s="58">
        <v>10230</v>
      </c>
    </row>
    <row r="28" spans="1:18" ht="15" thickBot="1" x14ac:dyDescent="0.4">
      <c r="M28" s="64" t="s">
        <v>211</v>
      </c>
      <c r="N28" s="58">
        <v>10953</v>
      </c>
      <c r="O28" s="58">
        <v>20384</v>
      </c>
      <c r="P28" s="58">
        <v>20546</v>
      </c>
      <c r="Q28" s="58">
        <v>20881</v>
      </c>
      <c r="R28" s="58">
        <v>22389</v>
      </c>
    </row>
    <row r="29" spans="1:18" x14ac:dyDescent="0.35">
      <c r="M29" s="66" t="s">
        <v>212</v>
      </c>
      <c r="N29" s="63">
        <v>221752</v>
      </c>
      <c r="O29" s="63">
        <v>245395</v>
      </c>
      <c r="P29" s="63">
        <v>259572</v>
      </c>
      <c r="Q29" s="63">
        <v>273028</v>
      </c>
      <c r="R29" s="63">
        <v>322978</v>
      </c>
    </row>
    <row r="30" spans="1:18" x14ac:dyDescent="0.35">
      <c r="M30" s="64" t="s">
        <v>213</v>
      </c>
      <c r="N30" s="58">
        <v>88464</v>
      </c>
      <c r="O30" s="58">
        <v>98773</v>
      </c>
      <c r="P30" s="58">
        <v>110758</v>
      </c>
      <c r="Q30" s="58">
        <v>122114</v>
      </c>
      <c r="R30" s="58">
        <v>143070</v>
      </c>
    </row>
    <row r="31" spans="1:18" x14ac:dyDescent="0.35">
      <c r="M31" s="55" t="s">
        <v>230</v>
      </c>
      <c r="N31" s="46">
        <v>22046</v>
      </c>
      <c r="O31" s="46">
        <v>31213</v>
      </c>
      <c r="P31" s="46">
        <v>34356</v>
      </c>
      <c r="Q31" s="46">
        <v>41622</v>
      </c>
      <c r="R31" s="46">
        <v>28497</v>
      </c>
    </row>
    <row r="32" spans="1:18" ht="15" thickBot="1" x14ac:dyDescent="0.4">
      <c r="M32" s="57" t="s">
        <v>29</v>
      </c>
      <c r="N32" s="58">
        <v>13140</v>
      </c>
      <c r="O32" s="58">
        <v>8410</v>
      </c>
      <c r="P32" s="58">
        <v>6258</v>
      </c>
      <c r="Q32" s="58">
        <v>6194</v>
      </c>
      <c r="R32" s="58">
        <v>7089</v>
      </c>
    </row>
    <row r="33" spans="13:18" x14ac:dyDescent="0.35">
      <c r="M33" s="59" t="s">
        <v>231</v>
      </c>
      <c r="N33" s="60">
        <v>113948</v>
      </c>
      <c r="O33" s="60">
        <v>99151</v>
      </c>
      <c r="P33" s="60">
        <v>79885</v>
      </c>
      <c r="Q33" s="60">
        <v>76728</v>
      </c>
      <c r="R33" s="60">
        <v>81021</v>
      </c>
    </row>
    <row r="34" spans="13:18" x14ac:dyDescent="0.35">
      <c r="M34" s="61" t="s">
        <v>203</v>
      </c>
      <c r="N34" s="46">
        <v>48824</v>
      </c>
      <c r="O34" s="46">
        <v>54415</v>
      </c>
      <c r="P34" s="46">
        <v>49158</v>
      </c>
      <c r="Q34" s="46">
        <v>44590</v>
      </c>
      <c r="R34" s="46">
        <v>47249</v>
      </c>
    </row>
    <row r="35" spans="13:18" x14ac:dyDescent="0.35">
      <c r="M35" s="61" t="s">
        <v>232</v>
      </c>
      <c r="N35" s="46">
        <v>12246</v>
      </c>
      <c r="O35" s="46">
        <v>8257</v>
      </c>
      <c r="P35" s="46">
        <v>6264</v>
      </c>
      <c r="Q35" s="46">
        <v>5260</v>
      </c>
      <c r="R35" s="46">
        <v>4917</v>
      </c>
    </row>
    <row r="36" spans="13:18" x14ac:dyDescent="0.35">
      <c r="M36" s="61" t="s">
        <v>233</v>
      </c>
      <c r="N36" s="46">
        <v>15899</v>
      </c>
      <c r="O36" s="46">
        <v>13357</v>
      </c>
      <c r="P36" s="46">
        <v>8678</v>
      </c>
      <c r="Q36" s="46">
        <v>11647</v>
      </c>
      <c r="R36" s="46">
        <v>10058</v>
      </c>
    </row>
    <row r="37" spans="13:18" x14ac:dyDescent="0.35">
      <c r="M37" s="61" t="s">
        <v>234</v>
      </c>
      <c r="N37" s="56">
        <v>-158</v>
      </c>
      <c r="O37" s="56">
        <v>-90</v>
      </c>
      <c r="P37" s="56">
        <v>-56</v>
      </c>
      <c r="Q37" s="56">
        <v>49</v>
      </c>
      <c r="R37" s="46">
        <v>1167</v>
      </c>
    </row>
    <row r="38" spans="13:18" ht="15" thickBot="1" x14ac:dyDescent="0.4">
      <c r="M38" s="61" t="s">
        <v>235</v>
      </c>
      <c r="N38" s="46">
        <v>37137</v>
      </c>
      <c r="O38" s="46">
        <v>23211</v>
      </c>
      <c r="P38" s="46">
        <v>15842</v>
      </c>
      <c r="Q38" s="46">
        <v>15182</v>
      </c>
      <c r="R38" s="46">
        <v>17630</v>
      </c>
    </row>
    <row r="39" spans="13:18" x14ac:dyDescent="0.35">
      <c r="M39" s="62" t="s">
        <v>103</v>
      </c>
      <c r="N39" s="63">
        <v>282422</v>
      </c>
      <c r="O39" s="63">
        <v>285396</v>
      </c>
      <c r="P39" s="63">
        <v>269312</v>
      </c>
      <c r="Q39" s="63">
        <v>275459</v>
      </c>
      <c r="R39" s="63">
        <v>296515</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1">
    <pageSetUpPr fitToPage="1"/>
  </sheetPr>
  <dimension ref="A1:K8"/>
  <sheetViews>
    <sheetView zoomScale="150" zoomScaleNormal="150" zoomScalePageLayoutView="150" workbookViewId="0">
      <pane xSplit="1" ySplit="3" topLeftCell="G4" activePane="bottomRight" state="frozen"/>
      <selection pane="topRight" activeCell="B1" sqref="B1"/>
      <selection pane="bottomLeft" activeCell="A4" sqref="A4"/>
      <selection pane="bottomRight" activeCell="K5" sqref="K5"/>
    </sheetView>
  </sheetViews>
  <sheetFormatPr defaultColWidth="8.81640625" defaultRowHeight="14.5" x14ac:dyDescent="0.35"/>
  <cols>
    <col min="1" max="1" width="26.81640625" bestFit="1" customWidth="1"/>
    <col min="2" max="6" width="13.453125" customWidth="1"/>
    <col min="7" max="11" width="13.453125" bestFit="1" customWidth="1"/>
  </cols>
  <sheetData>
    <row r="1" spans="1:11" s="2" customFormat="1" x14ac:dyDescent="0.35">
      <c r="A1" s="2" t="str">
        <f>'Balance Sheet'!A1</f>
        <v>TATA STEEL LTD</v>
      </c>
      <c r="E1" t="str">
        <f>UPDATE</f>
        <v/>
      </c>
      <c r="F1"/>
      <c r="J1" s="2" t="s">
        <v>1</v>
      </c>
    </row>
    <row r="3" spans="1:11" s="2" customFormat="1" x14ac:dyDescent="0.35">
      <c r="A3" s="11" t="s">
        <v>2</v>
      </c>
      <c r="B3" s="12">
        <f>'Data Sheet'!B81</f>
        <v>42825</v>
      </c>
      <c r="C3" s="12">
        <f>'Data Sheet'!C81</f>
        <v>43190</v>
      </c>
      <c r="D3" s="12">
        <f>'Data Sheet'!D81</f>
        <v>43555</v>
      </c>
      <c r="E3" s="12">
        <f>'Data Sheet'!E81</f>
        <v>43921</v>
      </c>
      <c r="F3" s="12">
        <f>'Data Sheet'!F81</f>
        <v>44286</v>
      </c>
      <c r="G3" s="12">
        <f>'Data Sheet'!G81</f>
        <v>44651</v>
      </c>
      <c r="H3" s="12">
        <f>'Data Sheet'!H81</f>
        <v>45016</v>
      </c>
      <c r="I3" s="12">
        <f>'Data Sheet'!I81</f>
        <v>45382</v>
      </c>
      <c r="J3" s="12">
        <f>'Data Sheet'!J81</f>
        <v>45747</v>
      </c>
      <c r="K3" s="12">
        <f>'Data Sheet'!K81</f>
        <v>46112</v>
      </c>
    </row>
    <row r="4" spans="1:11" s="2" customFormat="1" x14ac:dyDescent="0.35">
      <c r="A4" s="2" t="s">
        <v>32</v>
      </c>
      <c r="B4" s="1">
        <f>'Data Sheet'!B82</f>
        <v>10824.36</v>
      </c>
      <c r="C4" s="1">
        <f>'Data Sheet'!C82</f>
        <v>8023.39</v>
      </c>
      <c r="D4" s="1">
        <f>'Data Sheet'!D82</f>
        <v>25335.95</v>
      </c>
      <c r="E4" s="1">
        <f>'Data Sheet'!E82</f>
        <v>20168.72</v>
      </c>
      <c r="F4" s="1">
        <f>'Data Sheet'!F82</f>
        <v>44326.68</v>
      </c>
      <c r="G4" s="1">
        <f>'Data Sheet'!G82</f>
        <v>44380.99</v>
      </c>
      <c r="H4" s="1">
        <f>'Data Sheet'!H82</f>
        <v>21683.08</v>
      </c>
      <c r="I4" s="1">
        <f>'Data Sheet'!I82</f>
        <v>20300.669999999998</v>
      </c>
      <c r="J4" s="1">
        <f>'Data Sheet'!J82</f>
        <v>23137.58</v>
      </c>
      <c r="K4" s="1">
        <f>'Data Sheet'!K82</f>
        <v>35064.46</v>
      </c>
    </row>
    <row r="5" spans="1:11" x14ac:dyDescent="0.35">
      <c r="A5" t="s">
        <v>33</v>
      </c>
      <c r="B5" s="6">
        <f>'Data Sheet'!B83</f>
        <v>-9489.65</v>
      </c>
      <c r="C5" s="6">
        <f>'Data Sheet'!C83</f>
        <v>-11730.31</v>
      </c>
      <c r="D5" s="6">
        <f>'Data Sheet'!D83</f>
        <v>-29176.45</v>
      </c>
      <c r="E5" s="6">
        <f>'Data Sheet'!E83</f>
        <v>-14012.06</v>
      </c>
      <c r="F5" s="6">
        <f>'Data Sheet'!F83</f>
        <v>-9437.27</v>
      </c>
      <c r="G5" s="6">
        <f>'Data Sheet'!G83</f>
        <v>-10905.02</v>
      </c>
      <c r="H5" s="6">
        <f>'Data Sheet'!H83</f>
        <v>-18179.45</v>
      </c>
      <c r="I5" s="6">
        <f>'Data Sheet'!I83</f>
        <v>-14252.74</v>
      </c>
      <c r="J5" s="6">
        <f>'Data Sheet'!J83</f>
        <v>-13611.02</v>
      </c>
      <c r="K5" s="6">
        <f>'Data Sheet'!K83</f>
        <v>-14397.35</v>
      </c>
    </row>
    <row r="6" spans="1:11" x14ac:dyDescent="0.35">
      <c r="A6" t="s">
        <v>34</v>
      </c>
      <c r="B6" s="6">
        <f>'Data Sheet'!B84</f>
        <v>-2579.36</v>
      </c>
      <c r="C6" s="6">
        <f>'Data Sheet'!C84</f>
        <v>6639.94</v>
      </c>
      <c r="D6" s="6">
        <f>'Data Sheet'!D84</f>
        <v>-672.7</v>
      </c>
      <c r="E6" s="6">
        <f>'Data Sheet'!E84</f>
        <v>-1694.62</v>
      </c>
      <c r="F6" s="6">
        <f>'Data Sheet'!F84</f>
        <v>-37089.67</v>
      </c>
      <c r="G6" s="6">
        <f>'Data Sheet'!G84</f>
        <v>-23401.09</v>
      </c>
      <c r="H6" s="6">
        <f>'Data Sheet'!H84</f>
        <v>-6980.69</v>
      </c>
      <c r="I6" s="6">
        <f>'Data Sheet'!I84</f>
        <v>-11096.99</v>
      </c>
      <c r="J6" s="6">
        <f>'Data Sheet'!J84</f>
        <v>-7002.44</v>
      </c>
      <c r="K6" s="6">
        <f>'Data Sheet'!K84</f>
        <v>-21387.119999999999</v>
      </c>
    </row>
    <row r="7" spans="1:11" s="2" customFormat="1" x14ac:dyDescent="0.35">
      <c r="A7" s="2" t="s">
        <v>35</v>
      </c>
      <c r="B7" s="1">
        <f>'Data Sheet'!B85</f>
        <v>-1244.6500000000001</v>
      </c>
      <c r="C7" s="1">
        <f>'Data Sheet'!C85</f>
        <v>2933.02</v>
      </c>
      <c r="D7" s="1">
        <f>'Data Sheet'!D85</f>
        <v>-4513.2</v>
      </c>
      <c r="E7" s="1">
        <f>'Data Sheet'!E85</f>
        <v>4462.04</v>
      </c>
      <c r="F7" s="1">
        <f>'Data Sheet'!F85</f>
        <v>-2200.2600000000002</v>
      </c>
      <c r="G7" s="1">
        <f>'Data Sheet'!G85</f>
        <v>10074.879999999999</v>
      </c>
      <c r="H7" s="1">
        <f>'Data Sheet'!H85</f>
        <v>-3477.06</v>
      </c>
      <c r="I7" s="1">
        <f>'Data Sheet'!I85</f>
        <v>-5049.0600000000004</v>
      </c>
      <c r="J7" s="1">
        <f>'Data Sheet'!J85</f>
        <v>2524.12</v>
      </c>
      <c r="K7" s="1">
        <f>'Data Sheet'!K85</f>
        <v>-720.01</v>
      </c>
    </row>
    <row r="8" spans="1:11" x14ac:dyDescent="0.35">
      <c r="B8" s="6"/>
      <c r="C8" s="6"/>
      <c r="D8" s="6"/>
      <c r="E8" s="6"/>
      <c r="F8" s="6"/>
      <c r="G8" s="6"/>
      <c r="H8" s="6"/>
      <c r="I8" s="6"/>
      <c r="J8" s="6"/>
      <c r="K8" s="6"/>
    </row>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1"/>
  <dimension ref="A1:G16"/>
  <sheetViews>
    <sheetView zoomScale="150" zoomScaleNormal="150" zoomScalePageLayoutView="150" workbookViewId="0">
      <selection activeCell="B16" sqref="B16"/>
    </sheetView>
  </sheetViews>
  <sheetFormatPr defaultColWidth="8.81640625" defaultRowHeight="14.5" x14ac:dyDescent="0.35"/>
  <cols>
    <col min="1" max="1" width="8.81640625" style="2"/>
    <col min="2" max="2" width="10.453125" customWidth="1"/>
    <col min="3" max="3" width="13.36328125" style="20" customWidth="1"/>
    <col min="6" max="6" width="6.81640625" customWidth="1"/>
  </cols>
  <sheetData>
    <row r="1" spans="1:7" ht="21" x14ac:dyDescent="0.5">
      <c r="A1" s="19" t="s">
        <v>56</v>
      </c>
    </row>
    <row r="3" spans="1:7" x14ac:dyDescent="0.35">
      <c r="A3" s="2" t="s">
        <v>48</v>
      </c>
    </row>
    <row r="4" spans="1:7" x14ac:dyDescent="0.35">
      <c r="B4" t="s">
        <v>90</v>
      </c>
    </row>
    <row r="5" spans="1:7" x14ac:dyDescent="0.35">
      <c r="B5" t="s">
        <v>49</v>
      </c>
    </row>
    <row r="7" spans="1:7" x14ac:dyDescent="0.35">
      <c r="A7" s="2" t="s">
        <v>50</v>
      </c>
    </row>
    <row r="8" spans="1:7" x14ac:dyDescent="0.35">
      <c r="B8" t="s">
        <v>51</v>
      </c>
      <c r="C8" s="21" t="s">
        <v>91</v>
      </c>
    </row>
    <row r="10" spans="1:7" x14ac:dyDescent="0.35">
      <c r="A10" s="2" t="s">
        <v>52</v>
      </c>
    </row>
    <row r="11" spans="1:7" x14ac:dyDescent="0.35">
      <c r="B11" t="s">
        <v>53</v>
      </c>
    </row>
    <row r="14" spans="1:7" x14ac:dyDescent="0.35">
      <c r="A14" s="2" t="s">
        <v>54</v>
      </c>
    </row>
    <row r="15" spans="1:7" x14ac:dyDescent="0.35">
      <c r="B15" t="s">
        <v>55</v>
      </c>
    </row>
    <row r="16" spans="1:7" x14ac:dyDescent="0.35">
      <c r="B16" t="s">
        <v>92</v>
      </c>
      <c r="G16" s="22"/>
    </row>
  </sheetData>
  <hyperlinks>
    <hyperlink ref="C8" r:id="rId1" display=" http://www.screener.in/excel" xr:uid="{00000000-0004-0000-04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A1:K93"/>
  <sheetViews>
    <sheetView zoomScale="120" zoomScaleNormal="120" zoomScalePageLayoutView="120" workbookViewId="0">
      <pane xSplit="1" ySplit="1" topLeftCell="B79" activePane="bottomRight" state="frozen"/>
      <selection activeCell="C4" sqref="C4"/>
      <selection pane="topRight" activeCell="C4" sqref="C4"/>
      <selection pane="bottomLeft" activeCell="C4" sqref="C4"/>
      <selection pane="bottomRight" activeCell="A51" sqref="A51"/>
    </sheetView>
  </sheetViews>
  <sheetFormatPr defaultColWidth="8.81640625" defaultRowHeight="14.5" x14ac:dyDescent="0.35"/>
  <cols>
    <col min="1" max="1" width="27.6328125" style="4" bestFit="1" customWidth="1"/>
    <col min="2" max="11" width="13.453125" style="4" bestFit="1" customWidth="1"/>
    <col min="12" max="16384" width="8.81640625" style="4"/>
  </cols>
  <sheetData>
    <row r="1" spans="1:11" s="1" customFormat="1" x14ac:dyDescent="0.35">
      <c r="A1" s="1" t="s">
        <v>0</v>
      </c>
      <c r="B1" s="1" t="s">
        <v>63</v>
      </c>
      <c r="E1" s="244" t="str">
        <f>IF(B2&lt;&gt;B3, "A NEW VERSION OF THE WORKSHEET IS AVAILABLE", "")</f>
        <v/>
      </c>
      <c r="F1" s="244"/>
      <c r="G1" s="244"/>
      <c r="H1" s="244"/>
      <c r="I1" s="244"/>
      <c r="J1" s="244"/>
      <c r="K1" s="244"/>
    </row>
    <row r="2" spans="1:11" x14ac:dyDescent="0.35">
      <c r="A2" s="1" t="s">
        <v>61</v>
      </c>
      <c r="B2" s="4">
        <v>2.1</v>
      </c>
      <c r="E2" s="245" t="s">
        <v>36</v>
      </c>
      <c r="F2" s="245"/>
      <c r="G2" s="245"/>
      <c r="H2" s="245"/>
      <c r="I2" s="245"/>
      <c r="J2" s="245"/>
      <c r="K2" s="245"/>
    </row>
    <row r="3" spans="1:11" x14ac:dyDescent="0.35">
      <c r="A3" s="1" t="s">
        <v>62</v>
      </c>
      <c r="B3" s="4">
        <v>2.1</v>
      </c>
    </row>
    <row r="4" spans="1:11" x14ac:dyDescent="0.35">
      <c r="A4" s="1"/>
    </row>
    <row r="5" spans="1:11" x14ac:dyDescent="0.35">
      <c r="A5" s="1" t="s">
        <v>64</v>
      </c>
    </row>
    <row r="6" spans="1:11" x14ac:dyDescent="0.35">
      <c r="A6" s="4" t="s">
        <v>42</v>
      </c>
      <c r="B6" s="4">
        <f>IF(B9&gt;0, B9/B8, 0)</f>
        <v>1248.6915683238105</v>
      </c>
    </row>
    <row r="7" spans="1:11" x14ac:dyDescent="0.35">
      <c r="A7" s="4" t="s">
        <v>31</v>
      </c>
      <c r="B7">
        <v>1</v>
      </c>
    </row>
    <row r="8" spans="1:11" x14ac:dyDescent="0.35">
      <c r="A8" s="4" t="s">
        <v>43</v>
      </c>
      <c r="B8">
        <v>187.27</v>
      </c>
    </row>
    <row r="9" spans="1:11" x14ac:dyDescent="0.35">
      <c r="A9" s="4" t="s">
        <v>79</v>
      </c>
      <c r="B9">
        <v>233842.47</v>
      </c>
    </row>
    <row r="15" spans="1:11" x14ac:dyDescent="0.35">
      <c r="A15" s="1" t="s">
        <v>37</v>
      </c>
    </row>
    <row r="16" spans="1:11" s="18" customFormat="1" x14ac:dyDescent="0.35">
      <c r="A16" s="17" t="s">
        <v>38</v>
      </c>
      <c r="B16" s="12">
        <v>42825</v>
      </c>
      <c r="C16" s="12">
        <v>43190</v>
      </c>
      <c r="D16" s="12">
        <v>43555</v>
      </c>
      <c r="E16" s="12">
        <v>43921</v>
      </c>
      <c r="F16" s="12">
        <v>44286</v>
      </c>
      <c r="G16" s="12">
        <v>44651</v>
      </c>
      <c r="H16" s="12">
        <v>45016</v>
      </c>
      <c r="I16" s="12">
        <v>45382</v>
      </c>
      <c r="J16" s="12">
        <v>45747</v>
      </c>
      <c r="K16" s="12">
        <v>46112</v>
      </c>
    </row>
    <row r="17" spans="1:11" s="6" customFormat="1" x14ac:dyDescent="0.35">
      <c r="A17" s="6" t="s">
        <v>6</v>
      </c>
      <c r="B17">
        <v>112299.42</v>
      </c>
      <c r="C17">
        <v>123249.07</v>
      </c>
      <c r="D17">
        <v>157668.99</v>
      </c>
      <c r="E17">
        <v>139816.65</v>
      </c>
      <c r="F17">
        <v>156477.4</v>
      </c>
      <c r="G17">
        <v>243959.17</v>
      </c>
      <c r="H17">
        <v>243352.69</v>
      </c>
      <c r="I17">
        <v>229170.78</v>
      </c>
      <c r="J17">
        <v>218542.51</v>
      </c>
      <c r="K17">
        <v>232139.94</v>
      </c>
    </row>
    <row r="18" spans="1:11" s="6" customFormat="1" x14ac:dyDescent="0.35">
      <c r="A18" s="4" t="s">
        <v>80</v>
      </c>
      <c r="B18">
        <v>43843.03</v>
      </c>
      <c r="C18">
        <v>46137.01</v>
      </c>
      <c r="D18">
        <v>60877.05</v>
      </c>
      <c r="E18">
        <v>58039.99</v>
      </c>
      <c r="F18">
        <v>55100.81</v>
      </c>
      <c r="G18">
        <v>91076.61</v>
      </c>
      <c r="H18">
        <v>116597.19</v>
      </c>
      <c r="I18">
        <v>97506.39</v>
      </c>
      <c r="J18">
        <v>95097.3</v>
      </c>
      <c r="K18">
        <v>92628.07</v>
      </c>
    </row>
    <row r="19" spans="1:11" s="6" customFormat="1" x14ac:dyDescent="0.35">
      <c r="A19" s="4" t="s">
        <v>81</v>
      </c>
      <c r="B19">
        <v>4538.13</v>
      </c>
      <c r="C19">
        <v>-99.31</v>
      </c>
      <c r="D19">
        <v>96.71</v>
      </c>
      <c r="E19">
        <v>565.24</v>
      </c>
      <c r="F19">
        <v>-1516.77</v>
      </c>
      <c r="G19">
        <v>7597.87</v>
      </c>
      <c r="H19">
        <v>3358.89</v>
      </c>
      <c r="I19">
        <v>-4409.3500000000004</v>
      </c>
      <c r="J19">
        <v>96.65</v>
      </c>
      <c r="K19">
        <v>-989.62</v>
      </c>
    </row>
    <row r="20" spans="1:11" s="6" customFormat="1" x14ac:dyDescent="0.35">
      <c r="A20" s="4" t="s">
        <v>82</v>
      </c>
      <c r="B20">
        <v>5220.83</v>
      </c>
      <c r="C20">
        <v>4440.43</v>
      </c>
      <c r="D20">
        <v>5316.56</v>
      </c>
      <c r="E20">
        <v>5319.92</v>
      </c>
      <c r="F20">
        <v>5708.42</v>
      </c>
      <c r="G20">
        <v>8028.29</v>
      </c>
      <c r="H20">
        <v>9526.91</v>
      </c>
      <c r="I20">
        <v>16612.61</v>
      </c>
      <c r="J20">
        <v>13124.85</v>
      </c>
      <c r="K20">
        <v>14333.15</v>
      </c>
    </row>
    <row r="21" spans="1:11" s="6" customFormat="1" x14ac:dyDescent="0.35">
      <c r="A21" s="4" t="s">
        <v>83</v>
      </c>
      <c r="B21">
        <v>15799.14</v>
      </c>
      <c r="C21">
        <v>16955.79</v>
      </c>
      <c r="D21">
        <v>20734.28</v>
      </c>
      <c r="E21">
        <v>21232.69</v>
      </c>
      <c r="F21">
        <v>20744.93</v>
      </c>
      <c r="G21">
        <v>28834.06</v>
      </c>
      <c r="H21">
        <v>33144.83</v>
      </c>
      <c r="I21">
        <v>40116.910000000003</v>
      </c>
      <c r="J21">
        <v>38700.5</v>
      </c>
      <c r="K21">
        <v>37485.96</v>
      </c>
    </row>
    <row r="22" spans="1:11" s="6" customFormat="1" x14ac:dyDescent="0.35">
      <c r="A22" s="4" t="s">
        <v>84</v>
      </c>
      <c r="B22">
        <v>17252.22</v>
      </c>
      <c r="C22">
        <v>17077.509999999998</v>
      </c>
      <c r="D22">
        <v>18758.87</v>
      </c>
      <c r="E22">
        <v>18533.580000000002</v>
      </c>
      <c r="F22">
        <v>19908.810000000001</v>
      </c>
      <c r="G22">
        <v>23264.1</v>
      </c>
      <c r="H22">
        <v>22419.32</v>
      </c>
      <c r="I22">
        <v>24509.58</v>
      </c>
      <c r="J22">
        <v>24888.99</v>
      </c>
      <c r="K22">
        <v>25998.98</v>
      </c>
    </row>
    <row r="23" spans="1:11" s="6" customFormat="1" x14ac:dyDescent="0.35">
      <c r="A23" s="4" t="s">
        <v>85</v>
      </c>
      <c r="B23">
        <v>13772.32</v>
      </c>
      <c r="C23">
        <v>14423.87</v>
      </c>
      <c r="D23">
        <v>16917.14</v>
      </c>
      <c r="E23">
        <v>15599.07</v>
      </c>
      <c r="F23">
        <v>17509.77</v>
      </c>
      <c r="G23">
        <v>27445.67</v>
      </c>
      <c r="H23">
        <v>25519.919999999998</v>
      </c>
      <c r="I23">
        <v>14453.57</v>
      </c>
      <c r="J23">
        <v>12137.26</v>
      </c>
      <c r="K23">
        <v>13348.99</v>
      </c>
    </row>
    <row r="24" spans="1:11" s="6" customFormat="1" x14ac:dyDescent="0.35">
      <c r="A24" s="4" t="s">
        <v>86</v>
      </c>
      <c r="B24">
        <v>7806.38</v>
      </c>
      <c r="C24">
        <v>2681.96</v>
      </c>
      <c r="D24">
        <v>5843.58</v>
      </c>
      <c r="E24">
        <v>4193.58</v>
      </c>
      <c r="F24">
        <v>5483.63</v>
      </c>
      <c r="G24">
        <v>9418.36</v>
      </c>
      <c r="H24">
        <v>7203.25</v>
      </c>
      <c r="I24">
        <v>9314.4500000000007</v>
      </c>
      <c r="J24">
        <v>9391.81</v>
      </c>
      <c r="K24">
        <v>13002.73</v>
      </c>
    </row>
    <row r="25" spans="1:11" s="6" customFormat="1" x14ac:dyDescent="0.35">
      <c r="A25" s="6" t="s">
        <v>9</v>
      </c>
      <c r="B25">
        <v>-3789.11</v>
      </c>
      <c r="C25">
        <v>10898.41</v>
      </c>
      <c r="D25">
        <v>1524.31</v>
      </c>
      <c r="E25">
        <v>-2883.63</v>
      </c>
      <c r="F25">
        <v>179.78</v>
      </c>
      <c r="G25">
        <v>1299.99</v>
      </c>
      <c r="H25">
        <v>1568.86</v>
      </c>
      <c r="I25">
        <v>-6005.23</v>
      </c>
      <c r="J25">
        <v>876.7</v>
      </c>
      <c r="K25">
        <v>737.82</v>
      </c>
    </row>
    <row r="26" spans="1:11" s="6" customFormat="1" x14ac:dyDescent="0.35">
      <c r="A26" s="6" t="s">
        <v>10</v>
      </c>
      <c r="B26">
        <v>5672.88</v>
      </c>
      <c r="C26">
        <v>5741.7</v>
      </c>
      <c r="D26">
        <v>7341.83</v>
      </c>
      <c r="E26">
        <v>8440.73</v>
      </c>
      <c r="F26">
        <v>9233.64</v>
      </c>
      <c r="G26">
        <v>9100.8700000000008</v>
      </c>
      <c r="H26">
        <v>9335.2000000000007</v>
      </c>
      <c r="I26">
        <v>9882.16</v>
      </c>
      <c r="J26">
        <v>10421.33</v>
      </c>
      <c r="K26">
        <v>11954.51</v>
      </c>
    </row>
    <row r="27" spans="1:11" s="6" customFormat="1" x14ac:dyDescent="0.35">
      <c r="A27" s="6" t="s">
        <v>11</v>
      </c>
      <c r="B27">
        <v>5072.2</v>
      </c>
      <c r="C27">
        <v>5454.74</v>
      </c>
      <c r="D27">
        <v>7660.1</v>
      </c>
      <c r="E27">
        <v>7533.46</v>
      </c>
      <c r="F27">
        <v>7606.71</v>
      </c>
      <c r="G27">
        <v>5462.2</v>
      </c>
      <c r="H27">
        <v>6298.7</v>
      </c>
      <c r="I27">
        <v>7507.57</v>
      </c>
      <c r="J27">
        <v>7340.95</v>
      </c>
      <c r="K27">
        <v>7167.06</v>
      </c>
    </row>
    <row r="28" spans="1:11" s="6" customFormat="1" x14ac:dyDescent="0.35">
      <c r="A28" s="6" t="s">
        <v>12</v>
      </c>
      <c r="B28">
        <v>-1390.56</v>
      </c>
      <c r="C28">
        <v>21135.16</v>
      </c>
      <c r="D28">
        <v>15840.6</v>
      </c>
      <c r="E28">
        <v>-1394.76</v>
      </c>
      <c r="F28">
        <v>13843.69</v>
      </c>
      <c r="G28">
        <v>50226.87</v>
      </c>
      <c r="H28">
        <v>18235.12</v>
      </c>
      <c r="I28">
        <v>-1147.04</v>
      </c>
      <c r="J28">
        <v>8412.8700000000008</v>
      </c>
      <c r="K28">
        <v>15968.69</v>
      </c>
    </row>
    <row r="29" spans="1:11" s="6" customFormat="1" x14ac:dyDescent="0.35">
      <c r="A29" s="6" t="s">
        <v>13</v>
      </c>
      <c r="B29">
        <v>2778.01</v>
      </c>
      <c r="C29">
        <v>3392.33</v>
      </c>
      <c r="D29">
        <v>6718.43</v>
      </c>
      <c r="E29">
        <v>-2568.41</v>
      </c>
      <c r="F29">
        <v>5653.9</v>
      </c>
      <c r="G29">
        <v>8477.5499999999993</v>
      </c>
      <c r="H29">
        <v>10159.77</v>
      </c>
      <c r="I29">
        <v>3762.57</v>
      </c>
      <c r="J29">
        <v>5239.09</v>
      </c>
      <c r="K29">
        <v>5082.87</v>
      </c>
    </row>
    <row r="30" spans="1:11" s="6" customFormat="1" x14ac:dyDescent="0.35">
      <c r="A30" s="6" t="s">
        <v>14</v>
      </c>
      <c r="B30">
        <v>-4240.8</v>
      </c>
      <c r="C30">
        <v>13434.33</v>
      </c>
      <c r="D30">
        <v>10218.33</v>
      </c>
      <c r="E30">
        <v>1556.54</v>
      </c>
      <c r="F30">
        <v>7490.22</v>
      </c>
      <c r="G30">
        <v>40153.93</v>
      </c>
      <c r="H30">
        <v>8760.4</v>
      </c>
      <c r="I30">
        <v>-4437.4399999999996</v>
      </c>
      <c r="J30">
        <v>3420.51</v>
      </c>
      <c r="K30">
        <v>10793.87</v>
      </c>
    </row>
    <row r="31" spans="1:11" s="6" customFormat="1" x14ac:dyDescent="0.35">
      <c r="A31" s="6" t="s">
        <v>70</v>
      </c>
      <c r="B31">
        <v>970.24</v>
      </c>
      <c r="C31">
        <v>1144.95</v>
      </c>
      <c r="D31">
        <v>1488.42</v>
      </c>
      <c r="E31">
        <v>1144.95</v>
      </c>
      <c r="F31">
        <v>2994.02</v>
      </c>
      <c r="G31">
        <v>6228.17</v>
      </c>
      <c r="H31">
        <v>4396.46</v>
      </c>
      <c r="I31">
        <v>4490.78</v>
      </c>
      <c r="J31">
        <v>4490.78</v>
      </c>
      <c r="K31">
        <v>4989.76</v>
      </c>
    </row>
    <row r="32" spans="1:11" s="6" customFormat="1" x14ac:dyDescent="0.35"/>
    <row r="33" spans="1:11" x14ac:dyDescent="0.35">
      <c r="A33" s="6"/>
    </row>
    <row r="34" spans="1:11" x14ac:dyDescent="0.35">
      <c r="A34" s="6"/>
    </row>
    <row r="35" spans="1:11" x14ac:dyDescent="0.35">
      <c r="A35" s="6"/>
    </row>
    <row r="36" spans="1:11" x14ac:dyDescent="0.35">
      <c r="A36" s="6"/>
    </row>
    <row r="37" spans="1:11" x14ac:dyDescent="0.35">
      <c r="A37" s="6"/>
    </row>
    <row r="38" spans="1:11" x14ac:dyDescent="0.35">
      <c r="A38" s="6"/>
    </row>
    <row r="39" spans="1:11" x14ac:dyDescent="0.35">
      <c r="A39" s="6"/>
    </row>
    <row r="40" spans="1:11" x14ac:dyDescent="0.35">
      <c r="A40" s="1" t="s">
        <v>39</v>
      </c>
    </row>
    <row r="41" spans="1:11" s="18" customFormat="1" x14ac:dyDescent="0.35">
      <c r="A41" s="17" t="s">
        <v>38</v>
      </c>
      <c r="B41" s="12">
        <v>45291</v>
      </c>
      <c r="C41" s="12">
        <v>45382</v>
      </c>
      <c r="D41" s="12">
        <v>45473</v>
      </c>
      <c r="E41" s="12">
        <v>45565</v>
      </c>
      <c r="F41" s="12">
        <v>45657</v>
      </c>
      <c r="G41" s="12">
        <v>45747</v>
      </c>
      <c r="H41" s="12">
        <v>45838</v>
      </c>
      <c r="I41" s="12">
        <v>45930</v>
      </c>
      <c r="J41" s="12">
        <v>46022</v>
      </c>
      <c r="K41" s="12">
        <v>46112</v>
      </c>
    </row>
    <row r="42" spans="1:11" s="6" customFormat="1" x14ac:dyDescent="0.35">
      <c r="A42" s="6" t="s">
        <v>6</v>
      </c>
      <c r="B42">
        <v>55311.88</v>
      </c>
      <c r="C42">
        <v>58687.31</v>
      </c>
      <c r="D42">
        <v>54771.39</v>
      </c>
      <c r="E42">
        <v>53904.71</v>
      </c>
      <c r="F42">
        <v>53648.3</v>
      </c>
      <c r="G42">
        <v>56218.11</v>
      </c>
      <c r="H42">
        <v>53178.12</v>
      </c>
      <c r="I42">
        <v>58689.29</v>
      </c>
      <c r="J42">
        <v>57002.400000000001</v>
      </c>
      <c r="K42">
        <v>63270.13</v>
      </c>
    </row>
    <row r="43" spans="1:11" s="6" customFormat="1" x14ac:dyDescent="0.35">
      <c r="A43" s="6" t="s">
        <v>7</v>
      </c>
      <c r="B43">
        <v>49048.31</v>
      </c>
      <c r="C43">
        <v>52086.68</v>
      </c>
      <c r="D43">
        <v>48076.92</v>
      </c>
      <c r="E43">
        <v>47788.92</v>
      </c>
      <c r="F43">
        <v>47744.81</v>
      </c>
      <c r="G43">
        <v>49658.89</v>
      </c>
      <c r="H43">
        <v>45750.58</v>
      </c>
      <c r="I43">
        <v>49792.75</v>
      </c>
      <c r="J43">
        <v>48802.7</v>
      </c>
      <c r="K43">
        <v>53441.47</v>
      </c>
    </row>
    <row r="44" spans="1:11" s="6" customFormat="1" x14ac:dyDescent="0.35">
      <c r="A44" s="6" t="s">
        <v>9</v>
      </c>
      <c r="B44">
        <v>-32.840000000000003</v>
      </c>
      <c r="C44">
        <v>-381.56</v>
      </c>
      <c r="D44">
        <v>-5.51</v>
      </c>
      <c r="E44">
        <v>616.67999999999995</v>
      </c>
      <c r="F44">
        <v>141.82</v>
      </c>
      <c r="G44">
        <v>149.19</v>
      </c>
      <c r="H44">
        <v>236.27</v>
      </c>
      <c r="I44">
        <v>-6.11</v>
      </c>
      <c r="J44">
        <v>465.17</v>
      </c>
      <c r="K44">
        <v>42.49</v>
      </c>
    </row>
    <row r="45" spans="1:11" s="6" customFormat="1" x14ac:dyDescent="0.35">
      <c r="A45" s="6" t="s">
        <v>10</v>
      </c>
      <c r="B45">
        <v>2422.04</v>
      </c>
      <c r="C45">
        <v>2567.9499999999998</v>
      </c>
      <c r="D45">
        <v>2535.4299999999998</v>
      </c>
      <c r="E45">
        <v>2596.7399999999998</v>
      </c>
      <c r="F45">
        <v>2569.19</v>
      </c>
      <c r="G45">
        <v>2719.97</v>
      </c>
      <c r="H45">
        <v>2744.3</v>
      </c>
      <c r="I45">
        <v>2893</v>
      </c>
      <c r="J45">
        <v>3048.81</v>
      </c>
      <c r="K45">
        <v>3268.4</v>
      </c>
    </row>
    <row r="46" spans="1:11" s="6" customFormat="1" x14ac:dyDescent="0.35">
      <c r="A46" s="6" t="s">
        <v>11</v>
      </c>
      <c r="B46">
        <v>1880.78</v>
      </c>
      <c r="C46">
        <v>1842.25</v>
      </c>
      <c r="D46">
        <v>1776.71</v>
      </c>
      <c r="E46">
        <v>1971.4</v>
      </c>
      <c r="F46">
        <v>1804.09</v>
      </c>
      <c r="G46">
        <v>1788.75</v>
      </c>
      <c r="H46">
        <v>1852.43</v>
      </c>
      <c r="I46">
        <v>1774.96</v>
      </c>
      <c r="J46">
        <v>1747.29</v>
      </c>
      <c r="K46">
        <v>1792.38</v>
      </c>
    </row>
    <row r="47" spans="1:11" s="6" customFormat="1" x14ac:dyDescent="0.35">
      <c r="A47" s="6" t="s">
        <v>12</v>
      </c>
      <c r="B47">
        <v>1927.91</v>
      </c>
      <c r="C47">
        <v>1808.87</v>
      </c>
      <c r="D47">
        <v>2376.8200000000002</v>
      </c>
      <c r="E47">
        <v>2164.33</v>
      </c>
      <c r="F47">
        <v>1672.03</v>
      </c>
      <c r="G47">
        <v>2199.69</v>
      </c>
      <c r="H47">
        <v>3067.08</v>
      </c>
      <c r="I47">
        <v>4222.47</v>
      </c>
      <c r="J47">
        <v>3868.77</v>
      </c>
      <c r="K47">
        <v>4810.37</v>
      </c>
    </row>
    <row r="48" spans="1:11" s="6" customFormat="1" x14ac:dyDescent="0.35">
      <c r="A48" s="6" t="s">
        <v>13</v>
      </c>
      <c r="B48">
        <v>1405.77</v>
      </c>
      <c r="C48">
        <v>1254.31</v>
      </c>
      <c r="D48">
        <v>1458.25</v>
      </c>
      <c r="E48">
        <v>1405.49</v>
      </c>
      <c r="F48">
        <v>1376.54</v>
      </c>
      <c r="G48">
        <v>998.81</v>
      </c>
      <c r="H48">
        <v>1059.72</v>
      </c>
      <c r="I48">
        <v>1039.3800000000001</v>
      </c>
      <c r="J48">
        <v>1138.4000000000001</v>
      </c>
      <c r="K48">
        <v>1845.37</v>
      </c>
    </row>
    <row r="49" spans="1:11" s="6" customFormat="1" x14ac:dyDescent="0.35">
      <c r="A49" s="6" t="s">
        <v>14</v>
      </c>
      <c r="B49">
        <v>513.37</v>
      </c>
      <c r="C49">
        <v>611.48</v>
      </c>
      <c r="D49">
        <v>959.61</v>
      </c>
      <c r="E49">
        <v>833.45</v>
      </c>
      <c r="F49">
        <v>326.64</v>
      </c>
      <c r="G49">
        <v>1300.81</v>
      </c>
      <c r="H49">
        <v>2077.6799999999998</v>
      </c>
      <c r="I49">
        <v>3101.75</v>
      </c>
      <c r="J49">
        <v>2688.7</v>
      </c>
      <c r="K49">
        <v>2925.74</v>
      </c>
    </row>
    <row r="50" spans="1:11" x14ac:dyDescent="0.35">
      <c r="A50" s="6" t="s">
        <v>8</v>
      </c>
      <c r="B50">
        <v>6263.57</v>
      </c>
      <c r="C50">
        <v>6600.63</v>
      </c>
      <c r="D50">
        <v>6694.47</v>
      </c>
      <c r="E50">
        <v>6115.79</v>
      </c>
      <c r="F50">
        <v>5903.49</v>
      </c>
      <c r="G50">
        <v>6559.22</v>
      </c>
      <c r="H50">
        <v>7427.54</v>
      </c>
      <c r="I50">
        <v>8896.5400000000009</v>
      </c>
      <c r="J50">
        <v>8199.7000000000007</v>
      </c>
      <c r="K50">
        <v>9828.66</v>
      </c>
    </row>
    <row r="51" spans="1:11" x14ac:dyDescent="0.35">
      <c r="A51" s="6"/>
    </row>
    <row r="52" spans="1:11" x14ac:dyDescent="0.35">
      <c r="A52" s="6"/>
    </row>
    <row r="53" spans="1:11" x14ac:dyDescent="0.35">
      <c r="A53" s="6"/>
    </row>
    <row r="54" spans="1:11" x14ac:dyDescent="0.35">
      <c r="A54" s="6"/>
    </row>
    <row r="55" spans="1:11" x14ac:dyDescent="0.35">
      <c r="A55" s="1" t="s">
        <v>40</v>
      </c>
    </row>
    <row r="56" spans="1:11" s="18" customFormat="1" x14ac:dyDescent="0.35">
      <c r="A56" s="17" t="s">
        <v>38</v>
      </c>
      <c r="B56" s="12">
        <v>42825</v>
      </c>
      <c r="C56" s="12">
        <v>43190</v>
      </c>
      <c r="D56" s="12">
        <v>43555</v>
      </c>
      <c r="E56" s="12">
        <v>43921</v>
      </c>
      <c r="F56" s="12">
        <v>44286</v>
      </c>
      <c r="G56" s="12">
        <v>44651</v>
      </c>
      <c r="H56" s="12">
        <v>45016</v>
      </c>
      <c r="I56" s="12">
        <v>45382</v>
      </c>
      <c r="J56" s="12">
        <v>45747</v>
      </c>
      <c r="K56" s="12">
        <v>46112</v>
      </c>
    </row>
    <row r="57" spans="1:11" x14ac:dyDescent="0.35">
      <c r="A57" s="6" t="s">
        <v>24</v>
      </c>
      <c r="B57">
        <v>970.24</v>
      </c>
      <c r="C57">
        <v>1144.95</v>
      </c>
      <c r="D57">
        <v>1144.94</v>
      </c>
      <c r="E57">
        <v>1144.95</v>
      </c>
      <c r="F57">
        <v>1197.6099999999999</v>
      </c>
      <c r="G57">
        <v>1221.21</v>
      </c>
      <c r="H57">
        <v>1221.24</v>
      </c>
      <c r="I57">
        <v>1247.44</v>
      </c>
      <c r="J57">
        <v>1247.44</v>
      </c>
      <c r="K57">
        <v>1247.44</v>
      </c>
    </row>
    <row r="58" spans="1:11" x14ac:dyDescent="0.35">
      <c r="A58" s="6" t="s">
        <v>25</v>
      </c>
      <c r="B58">
        <v>36849.08</v>
      </c>
      <c r="C58">
        <v>59725.67</v>
      </c>
      <c r="D58">
        <v>67780.14</v>
      </c>
      <c r="E58">
        <v>72431.350000000006</v>
      </c>
      <c r="F58">
        <v>73041.16</v>
      </c>
      <c r="G58">
        <v>113221.83</v>
      </c>
      <c r="H58">
        <v>101860.86</v>
      </c>
      <c r="I58">
        <v>90788.32</v>
      </c>
      <c r="J58">
        <v>89922.19</v>
      </c>
      <c r="K58">
        <v>100920.21</v>
      </c>
    </row>
    <row r="59" spans="1:11" x14ac:dyDescent="0.35">
      <c r="A59" s="6" t="s">
        <v>71</v>
      </c>
      <c r="B59">
        <v>83014.490000000005</v>
      </c>
      <c r="C59">
        <v>92147.05</v>
      </c>
      <c r="D59">
        <v>100816.22</v>
      </c>
      <c r="E59">
        <v>116328.2</v>
      </c>
      <c r="F59">
        <v>88501.41</v>
      </c>
      <c r="G59">
        <v>75561.350000000006</v>
      </c>
      <c r="H59">
        <v>84893.05</v>
      </c>
      <c r="I59">
        <v>87082.12</v>
      </c>
      <c r="J59">
        <v>94801.05</v>
      </c>
      <c r="K59">
        <v>92381.68</v>
      </c>
    </row>
    <row r="60" spans="1:11" x14ac:dyDescent="0.35">
      <c r="A60" s="6" t="s">
        <v>72</v>
      </c>
      <c r="B60">
        <v>51613.56</v>
      </c>
      <c r="C60">
        <v>55704.47</v>
      </c>
      <c r="D60">
        <v>63032.14</v>
      </c>
      <c r="E60">
        <v>59244.62</v>
      </c>
      <c r="F60">
        <v>81169.009999999995</v>
      </c>
      <c r="G60">
        <v>92417.279999999999</v>
      </c>
      <c r="H60">
        <v>97420.63</v>
      </c>
      <c r="I60">
        <v>90194.54</v>
      </c>
      <c r="J60">
        <v>89487.9</v>
      </c>
      <c r="K60">
        <v>101965.29</v>
      </c>
    </row>
    <row r="61" spans="1:11" s="1" customFormat="1" x14ac:dyDescent="0.35">
      <c r="A61" s="1" t="s">
        <v>26</v>
      </c>
      <c r="B61">
        <v>172447.37</v>
      </c>
      <c r="C61">
        <v>208722.14</v>
      </c>
      <c r="D61">
        <v>232773.44</v>
      </c>
      <c r="E61">
        <v>249149.12</v>
      </c>
      <c r="F61">
        <v>243909.19</v>
      </c>
      <c r="G61">
        <v>282421.67</v>
      </c>
      <c r="H61">
        <v>285395.78000000003</v>
      </c>
      <c r="I61">
        <v>269312.42</v>
      </c>
      <c r="J61">
        <v>275458.58</v>
      </c>
      <c r="K61">
        <v>296514.62</v>
      </c>
    </row>
    <row r="62" spans="1:11" x14ac:dyDescent="0.35">
      <c r="A62" s="6" t="s">
        <v>27</v>
      </c>
      <c r="B62">
        <v>92006.55</v>
      </c>
      <c r="C62">
        <v>96104.89</v>
      </c>
      <c r="D62">
        <v>124441.91</v>
      </c>
      <c r="E62">
        <v>134550.66</v>
      </c>
      <c r="F62">
        <v>135775.18</v>
      </c>
      <c r="G62">
        <v>133287.82999999999</v>
      </c>
      <c r="H62">
        <v>146621.46</v>
      </c>
      <c r="I62">
        <v>148814.38</v>
      </c>
      <c r="J62">
        <v>150914.06</v>
      </c>
      <c r="K62">
        <v>179908.13</v>
      </c>
    </row>
    <row r="63" spans="1:11" x14ac:dyDescent="0.35">
      <c r="A63" s="6" t="s">
        <v>28</v>
      </c>
      <c r="B63">
        <v>15784.13</v>
      </c>
      <c r="C63">
        <v>16614.41</v>
      </c>
      <c r="D63">
        <v>18641.21</v>
      </c>
      <c r="E63">
        <v>19496.830000000002</v>
      </c>
      <c r="F63">
        <v>19007.400000000001</v>
      </c>
      <c r="G63">
        <v>22045.55</v>
      </c>
      <c r="H63">
        <v>31213.02</v>
      </c>
      <c r="I63">
        <v>34355.53</v>
      </c>
      <c r="J63">
        <v>41622.35</v>
      </c>
      <c r="K63">
        <v>28496.71</v>
      </c>
    </row>
    <row r="64" spans="1:11" x14ac:dyDescent="0.35">
      <c r="A64" s="6" t="s">
        <v>29</v>
      </c>
      <c r="B64">
        <v>12457.12</v>
      </c>
      <c r="C64">
        <v>17899.47</v>
      </c>
      <c r="D64">
        <v>5738.17</v>
      </c>
      <c r="E64">
        <v>6285.18</v>
      </c>
      <c r="F64">
        <v>10681.93</v>
      </c>
      <c r="G64">
        <v>13139.85</v>
      </c>
      <c r="H64">
        <v>8410.31</v>
      </c>
      <c r="I64">
        <v>6257.57</v>
      </c>
      <c r="J64">
        <v>6194.11</v>
      </c>
      <c r="K64">
        <v>7088.85</v>
      </c>
    </row>
    <row r="65" spans="1:11" x14ac:dyDescent="0.35">
      <c r="A65" s="6" t="s">
        <v>73</v>
      </c>
      <c r="B65">
        <v>52199.57</v>
      </c>
      <c r="C65">
        <v>78103.37</v>
      </c>
      <c r="D65">
        <v>83952.15</v>
      </c>
      <c r="E65">
        <v>88816.45</v>
      </c>
      <c r="F65">
        <v>78444.679999999993</v>
      </c>
      <c r="G65">
        <v>113948.44</v>
      </c>
      <c r="H65">
        <v>99150.99</v>
      </c>
      <c r="I65">
        <v>79884.94</v>
      </c>
      <c r="J65">
        <v>76728.06</v>
      </c>
      <c r="K65">
        <v>81020.929999999993</v>
      </c>
    </row>
    <row r="66" spans="1:11" s="1" customFormat="1" x14ac:dyDescent="0.35">
      <c r="A66" s="1" t="s">
        <v>26</v>
      </c>
      <c r="B66">
        <v>172447.37</v>
      </c>
      <c r="C66">
        <v>208722.14</v>
      </c>
      <c r="D66">
        <v>232773.44</v>
      </c>
      <c r="E66">
        <v>249149.12</v>
      </c>
      <c r="F66">
        <v>243909.19</v>
      </c>
      <c r="G66">
        <v>282421.67</v>
      </c>
      <c r="H66">
        <v>285395.78000000003</v>
      </c>
      <c r="I66">
        <v>269312.42</v>
      </c>
      <c r="J66">
        <v>275458.58</v>
      </c>
      <c r="K66">
        <v>296514.62</v>
      </c>
    </row>
    <row r="67" spans="1:11" s="6" customFormat="1" x14ac:dyDescent="0.35">
      <c r="A67" s="6" t="s">
        <v>78</v>
      </c>
      <c r="B67">
        <v>11586.82</v>
      </c>
      <c r="C67">
        <v>12415.52</v>
      </c>
      <c r="D67">
        <v>11811</v>
      </c>
      <c r="E67">
        <v>7884.91</v>
      </c>
      <c r="F67">
        <v>9539.84</v>
      </c>
      <c r="G67">
        <v>12246.43</v>
      </c>
      <c r="H67">
        <v>8257.24</v>
      </c>
      <c r="I67">
        <v>6263.53</v>
      </c>
      <c r="J67">
        <v>5260.06</v>
      </c>
      <c r="K67">
        <v>4916.8900000000003</v>
      </c>
    </row>
    <row r="68" spans="1:11" x14ac:dyDescent="0.35">
      <c r="A68" s="6" t="s">
        <v>45</v>
      </c>
      <c r="B68">
        <v>24803.82</v>
      </c>
      <c r="C68">
        <v>28331.040000000001</v>
      </c>
      <c r="D68">
        <v>31656.1</v>
      </c>
      <c r="E68">
        <v>31068.720000000001</v>
      </c>
      <c r="F68">
        <v>33276.379999999997</v>
      </c>
      <c r="G68">
        <v>48824.39</v>
      </c>
      <c r="H68">
        <v>54415.33</v>
      </c>
      <c r="I68">
        <v>49157.51</v>
      </c>
      <c r="J68">
        <v>44589.94</v>
      </c>
      <c r="K68">
        <v>47249.22</v>
      </c>
    </row>
    <row r="69" spans="1:11" x14ac:dyDescent="0.35">
      <c r="A69" s="4" t="s">
        <v>87</v>
      </c>
      <c r="B69">
        <v>4921.05</v>
      </c>
      <c r="C69">
        <v>7937.85</v>
      </c>
      <c r="D69">
        <v>3341.37</v>
      </c>
      <c r="E69">
        <v>8054.72</v>
      </c>
      <c r="F69">
        <v>5782.18</v>
      </c>
      <c r="G69">
        <v>15898.93</v>
      </c>
      <c r="H69">
        <v>13357.26</v>
      </c>
      <c r="I69">
        <v>8677.7199999999993</v>
      </c>
      <c r="J69">
        <v>11646.98</v>
      </c>
      <c r="K69">
        <v>10057.530000000001</v>
      </c>
    </row>
    <row r="70" spans="1:11" x14ac:dyDescent="0.35">
      <c r="A70" s="4" t="s">
        <v>74</v>
      </c>
      <c r="B70">
        <v>970436562</v>
      </c>
      <c r="C70">
        <v>1203340563</v>
      </c>
      <c r="D70">
        <v>1203331928</v>
      </c>
      <c r="E70">
        <v>1203332459</v>
      </c>
      <c r="F70">
        <v>1203334622</v>
      </c>
      <c r="G70">
        <v>1221566453</v>
      </c>
      <c r="H70">
        <v>12212353070</v>
      </c>
      <c r="I70">
        <v>12474347611</v>
      </c>
      <c r="J70">
        <v>12477659071</v>
      </c>
      <c r="K70">
        <v>12477659071</v>
      </c>
    </row>
    <row r="71" spans="1:11" x14ac:dyDescent="0.35">
      <c r="A71" s="4" t="s">
        <v>75</v>
      </c>
    </row>
    <row r="72" spans="1:11" x14ac:dyDescent="0.35">
      <c r="A72" s="4" t="s">
        <v>88</v>
      </c>
      <c r="B72">
        <v>10</v>
      </c>
      <c r="C72">
        <v>10</v>
      </c>
      <c r="D72">
        <v>10</v>
      </c>
      <c r="E72">
        <v>10</v>
      </c>
      <c r="F72">
        <v>10</v>
      </c>
      <c r="G72">
        <v>10</v>
      </c>
      <c r="H72">
        <v>1</v>
      </c>
      <c r="I72">
        <v>1</v>
      </c>
      <c r="J72">
        <v>1</v>
      </c>
      <c r="K72">
        <v>1</v>
      </c>
    </row>
    <row r="74" spans="1:11" x14ac:dyDescent="0.35">
      <c r="A74" s="6"/>
    </row>
    <row r="75" spans="1:11" x14ac:dyDescent="0.35">
      <c r="A75" s="6"/>
    </row>
    <row r="76" spans="1:11" x14ac:dyDescent="0.35">
      <c r="A76" s="6"/>
    </row>
    <row r="77" spans="1:11" x14ac:dyDescent="0.35">
      <c r="A77" s="6"/>
    </row>
    <row r="78" spans="1:11" x14ac:dyDescent="0.35">
      <c r="A78" s="6"/>
    </row>
    <row r="79" spans="1:11" x14ac:dyDescent="0.35">
      <c r="A79" s="6"/>
    </row>
    <row r="80" spans="1:11" x14ac:dyDescent="0.35">
      <c r="A80" s="1" t="s">
        <v>41</v>
      </c>
    </row>
    <row r="81" spans="1:11" s="18" customFormat="1" x14ac:dyDescent="0.35">
      <c r="A81" s="17" t="s">
        <v>38</v>
      </c>
      <c r="B81" s="12">
        <v>42825</v>
      </c>
      <c r="C81" s="12">
        <v>43190</v>
      </c>
      <c r="D81" s="12">
        <v>43555</v>
      </c>
      <c r="E81" s="12">
        <v>43921</v>
      </c>
      <c r="F81" s="12">
        <v>44286</v>
      </c>
      <c r="G81" s="12">
        <v>44651</v>
      </c>
      <c r="H81" s="12">
        <v>45016</v>
      </c>
      <c r="I81" s="12">
        <v>45382</v>
      </c>
      <c r="J81" s="12">
        <v>45747</v>
      </c>
      <c r="K81" s="12">
        <v>46112</v>
      </c>
    </row>
    <row r="82" spans="1:11" s="1" customFormat="1" x14ac:dyDescent="0.35">
      <c r="A82" s="6" t="s">
        <v>32</v>
      </c>
      <c r="B82">
        <v>10824.36</v>
      </c>
      <c r="C82">
        <v>8023.39</v>
      </c>
      <c r="D82">
        <v>25335.95</v>
      </c>
      <c r="E82">
        <v>20168.72</v>
      </c>
      <c r="F82">
        <v>44326.68</v>
      </c>
      <c r="G82">
        <v>44380.99</v>
      </c>
      <c r="H82">
        <v>21683.08</v>
      </c>
      <c r="I82">
        <v>20300.669999999998</v>
      </c>
      <c r="J82">
        <v>23137.58</v>
      </c>
      <c r="K82">
        <v>35064.46</v>
      </c>
    </row>
    <row r="83" spans="1:11" s="6" customFormat="1" x14ac:dyDescent="0.35">
      <c r="A83" s="6" t="s">
        <v>33</v>
      </c>
      <c r="B83">
        <v>-9489.65</v>
      </c>
      <c r="C83">
        <v>-11730.31</v>
      </c>
      <c r="D83">
        <v>-29176.45</v>
      </c>
      <c r="E83">
        <v>-14012.06</v>
      </c>
      <c r="F83">
        <v>-9437.27</v>
      </c>
      <c r="G83">
        <v>-10905.02</v>
      </c>
      <c r="H83">
        <v>-18179.45</v>
      </c>
      <c r="I83">
        <v>-14252.74</v>
      </c>
      <c r="J83">
        <v>-13611.02</v>
      </c>
      <c r="K83">
        <v>-14397.35</v>
      </c>
    </row>
    <row r="84" spans="1:11" s="6" customFormat="1" x14ac:dyDescent="0.35">
      <c r="A84" s="6" t="s">
        <v>34</v>
      </c>
      <c r="B84">
        <v>-2579.36</v>
      </c>
      <c r="C84">
        <v>6639.94</v>
      </c>
      <c r="D84">
        <v>-672.7</v>
      </c>
      <c r="E84">
        <v>-1694.62</v>
      </c>
      <c r="F84">
        <v>-37089.67</v>
      </c>
      <c r="G84">
        <v>-23401.09</v>
      </c>
      <c r="H84">
        <v>-6980.69</v>
      </c>
      <c r="I84">
        <v>-11096.99</v>
      </c>
      <c r="J84">
        <v>-7002.44</v>
      </c>
      <c r="K84">
        <v>-21387.119999999999</v>
      </c>
    </row>
    <row r="85" spans="1:11" s="1" customFormat="1" x14ac:dyDescent="0.35">
      <c r="A85" s="6" t="s">
        <v>35</v>
      </c>
      <c r="B85">
        <v>-1244.6500000000001</v>
      </c>
      <c r="C85">
        <v>2933.02</v>
      </c>
      <c r="D85">
        <v>-4513.2</v>
      </c>
      <c r="E85">
        <v>4462.04</v>
      </c>
      <c r="F85">
        <v>-2200.2600000000002</v>
      </c>
      <c r="G85">
        <v>10074.879999999999</v>
      </c>
      <c r="H85">
        <v>-3477.06</v>
      </c>
      <c r="I85">
        <v>-5049.0600000000004</v>
      </c>
      <c r="J85">
        <v>2524.12</v>
      </c>
      <c r="K85">
        <v>-720.01</v>
      </c>
    </row>
    <row r="86" spans="1:11" x14ac:dyDescent="0.35">
      <c r="A86" s="6"/>
    </row>
    <row r="87" spans="1:11" x14ac:dyDescent="0.35">
      <c r="A87" s="6"/>
    </row>
    <row r="88" spans="1:11" x14ac:dyDescent="0.35">
      <c r="A88" s="6"/>
    </row>
    <row r="89" spans="1:11" x14ac:dyDescent="0.35">
      <c r="A89" s="6"/>
    </row>
    <row r="90" spans="1:11" s="1" customFormat="1" x14ac:dyDescent="0.35">
      <c r="A90" s="1" t="s">
        <v>77</v>
      </c>
      <c r="B90">
        <v>45.99</v>
      </c>
      <c r="C90">
        <v>57.11</v>
      </c>
      <c r="D90">
        <v>52.1</v>
      </c>
      <c r="E90">
        <v>26.96</v>
      </c>
      <c r="F90">
        <v>81.19</v>
      </c>
      <c r="G90">
        <v>130.72</v>
      </c>
      <c r="H90">
        <v>104.5</v>
      </c>
      <c r="I90">
        <v>155.85</v>
      </c>
      <c r="J90">
        <v>154.24</v>
      </c>
      <c r="K90">
        <v>191.86</v>
      </c>
    </row>
    <row r="92" spans="1:11" s="1" customFormat="1" x14ac:dyDescent="0.35">
      <c r="A92" s="1" t="s">
        <v>76</v>
      </c>
    </row>
    <row r="93" spans="1:11" x14ac:dyDescent="0.35">
      <c r="A93" s="4" t="s">
        <v>89</v>
      </c>
      <c r="B93" s="24">
        <v>1126.6199999999999</v>
      </c>
      <c r="C93" s="24">
        <v>1126.48</v>
      </c>
      <c r="D93" s="24">
        <v>1126.49</v>
      </c>
      <c r="E93" s="24">
        <v>1126.49</v>
      </c>
      <c r="F93" s="24">
        <v>1196.5899999999999</v>
      </c>
      <c r="G93" s="24">
        <v>1221.3</v>
      </c>
      <c r="H93" s="24">
        <v>1222.1500000000001</v>
      </c>
      <c r="I93" s="24">
        <v>1248.3499999999999</v>
      </c>
      <c r="J93" s="24">
        <v>1248.3499999999999</v>
      </c>
      <c r="K93" s="24">
        <v>1248.3499999999999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B29-2193-414B-9239-B22B15EE621B}">
  <dimension ref="A1:H31"/>
  <sheetViews>
    <sheetView workbookViewId="0">
      <selection activeCell="B3" sqref="B3:B9"/>
    </sheetView>
  </sheetViews>
  <sheetFormatPr defaultRowHeight="14.5" x14ac:dyDescent="0.35"/>
  <cols>
    <col min="1" max="1" width="34.08984375" bestFit="1" customWidth="1"/>
    <col min="2" max="6" width="8.54296875" bestFit="1" customWidth="1"/>
  </cols>
  <sheetData>
    <row r="1" spans="1:8" ht="15" thickBot="1" x14ac:dyDescent="0.4">
      <c r="B1" s="183">
        <v>44621</v>
      </c>
      <c r="C1" s="183">
        <v>44986</v>
      </c>
      <c r="D1" s="183">
        <v>45352</v>
      </c>
      <c r="E1" s="183">
        <v>45717</v>
      </c>
      <c r="F1" s="183">
        <v>46082</v>
      </c>
    </row>
    <row r="2" spans="1:8" ht="15" thickBot="1" x14ac:dyDescent="0.4">
      <c r="A2" s="184" t="s">
        <v>539</v>
      </c>
      <c r="B2" s="185">
        <v>44381</v>
      </c>
      <c r="C2" s="185">
        <v>21683</v>
      </c>
      <c r="D2" s="185">
        <v>20301</v>
      </c>
      <c r="E2" s="185">
        <v>23138</v>
      </c>
      <c r="F2" s="185">
        <v>35064</v>
      </c>
    </row>
    <row r="3" spans="1:8" x14ac:dyDescent="0.35">
      <c r="A3" s="186" t="s">
        <v>540</v>
      </c>
      <c r="B3" s="185">
        <v>65900</v>
      </c>
      <c r="C3" s="185">
        <v>30908</v>
      </c>
      <c r="D3" s="185">
        <v>22237</v>
      </c>
      <c r="E3" s="185">
        <v>23929</v>
      </c>
      <c r="F3" s="185">
        <v>34219</v>
      </c>
      <c r="H3" s="194"/>
    </row>
    <row r="4" spans="1:8" x14ac:dyDescent="0.35">
      <c r="A4" s="61" t="s">
        <v>78</v>
      </c>
      <c r="B4" s="56">
        <v>0</v>
      </c>
      <c r="C4" s="56">
        <v>0</v>
      </c>
      <c r="D4" s="56">
        <v>0</v>
      </c>
      <c r="E4" s="56">
        <v>0</v>
      </c>
      <c r="F4" s="56">
        <v>0</v>
      </c>
    </row>
    <row r="5" spans="1:8" x14ac:dyDescent="0.35">
      <c r="A5" s="61" t="s">
        <v>45</v>
      </c>
      <c r="B5" s="46">
        <v>-16917</v>
      </c>
      <c r="C5" s="46">
        <v>-4031</v>
      </c>
      <c r="D5" s="46">
        <v>5566</v>
      </c>
      <c r="E5" s="46">
        <v>4776</v>
      </c>
      <c r="F5" s="46">
        <v>1290</v>
      </c>
    </row>
    <row r="6" spans="1:8" x14ac:dyDescent="0.35">
      <c r="A6" s="61" t="s">
        <v>541</v>
      </c>
      <c r="B6" s="56">
        <v>0</v>
      </c>
      <c r="C6" s="56">
        <v>0</v>
      </c>
      <c r="D6" s="56">
        <v>0</v>
      </c>
      <c r="E6" s="56">
        <v>0</v>
      </c>
      <c r="F6" s="56">
        <v>0</v>
      </c>
    </row>
    <row r="7" spans="1:8" ht="15" thickBot="1" x14ac:dyDescent="0.4">
      <c r="A7" s="61" t="s">
        <v>542</v>
      </c>
      <c r="B7" s="46">
        <v>7299</v>
      </c>
      <c r="C7" s="56">
        <v>325</v>
      </c>
      <c r="D7" s="46">
        <v>-2182</v>
      </c>
      <c r="E7" s="46">
        <v>-2569</v>
      </c>
      <c r="F7" s="46">
        <v>4152</v>
      </c>
      <c r="G7" s="194"/>
    </row>
    <row r="8" spans="1:8" x14ac:dyDescent="0.35">
      <c r="A8" s="186" t="s">
        <v>543</v>
      </c>
      <c r="B8" s="185">
        <v>-9618</v>
      </c>
      <c r="C8" s="185">
        <v>-3706</v>
      </c>
      <c r="D8" s="185">
        <v>3384</v>
      </c>
      <c r="E8" s="185">
        <v>2207</v>
      </c>
      <c r="F8" s="185">
        <v>5442</v>
      </c>
    </row>
    <row r="9" spans="1:8" ht="15" thickBot="1" x14ac:dyDescent="0.4">
      <c r="A9" s="61" t="s">
        <v>544</v>
      </c>
      <c r="B9" s="46">
        <v>-11902</v>
      </c>
      <c r="C9" s="46">
        <v>-5519</v>
      </c>
      <c r="D9" s="46">
        <v>-5320</v>
      </c>
      <c r="E9" s="46">
        <v>-2998</v>
      </c>
      <c r="F9" s="46">
        <v>-4597</v>
      </c>
    </row>
    <row r="10" spans="1:8" x14ac:dyDescent="0.35">
      <c r="A10" s="187" t="s">
        <v>545</v>
      </c>
      <c r="B10" s="188">
        <v>-10905</v>
      </c>
      <c r="C10" s="188">
        <v>-18179</v>
      </c>
      <c r="D10" s="188">
        <v>-14253</v>
      </c>
      <c r="E10" s="188">
        <v>-13611</v>
      </c>
      <c r="F10" s="188">
        <v>-14397</v>
      </c>
    </row>
    <row r="11" spans="1:8" x14ac:dyDescent="0.35">
      <c r="A11" s="64" t="s">
        <v>546</v>
      </c>
      <c r="B11" s="58">
        <v>-10522</v>
      </c>
      <c r="C11" s="58">
        <v>-14142</v>
      </c>
      <c r="D11" s="58">
        <v>-18207</v>
      </c>
      <c r="E11" s="58">
        <v>-15671</v>
      </c>
      <c r="F11" s="58">
        <v>-14559</v>
      </c>
    </row>
    <row r="12" spans="1:8" x14ac:dyDescent="0.35">
      <c r="A12" s="64" t="s">
        <v>547</v>
      </c>
      <c r="B12" s="65">
        <v>569</v>
      </c>
      <c r="C12" s="65">
        <v>328</v>
      </c>
      <c r="D12" s="65">
        <v>475</v>
      </c>
      <c r="E12" s="58">
        <v>1264</v>
      </c>
      <c r="F12" s="58">
        <v>1401</v>
      </c>
    </row>
    <row r="13" spans="1:8" x14ac:dyDescent="0.35">
      <c r="A13" s="64" t="s">
        <v>548</v>
      </c>
      <c r="B13" s="58">
        <v>-1153</v>
      </c>
      <c r="C13" s="65">
        <v>-326</v>
      </c>
      <c r="D13" s="65">
        <v>-4</v>
      </c>
      <c r="E13" s="65">
        <v>-393</v>
      </c>
      <c r="F13" s="65">
        <v>-553</v>
      </c>
    </row>
    <row r="14" spans="1:8" x14ac:dyDescent="0.35">
      <c r="A14" s="64" t="s">
        <v>549</v>
      </c>
      <c r="B14" s="65">
        <v>63</v>
      </c>
      <c r="C14" s="58">
        <v>5191</v>
      </c>
      <c r="D14" s="58">
        <v>3171</v>
      </c>
      <c r="E14" s="65">
        <v>554</v>
      </c>
      <c r="F14" s="65">
        <v>20</v>
      </c>
    </row>
    <row r="15" spans="1:8" x14ac:dyDescent="0.35">
      <c r="A15" s="64" t="s">
        <v>550</v>
      </c>
      <c r="B15" s="65">
        <v>137</v>
      </c>
      <c r="C15" s="65">
        <v>248</v>
      </c>
      <c r="D15" s="65">
        <v>333</v>
      </c>
      <c r="E15" s="65">
        <v>616</v>
      </c>
      <c r="F15" s="65">
        <v>650</v>
      </c>
    </row>
    <row r="16" spans="1:8" x14ac:dyDescent="0.35">
      <c r="A16" s="64" t="s">
        <v>551</v>
      </c>
      <c r="B16" s="65">
        <v>162</v>
      </c>
      <c r="C16" s="65">
        <v>317</v>
      </c>
      <c r="D16" s="65">
        <v>336</v>
      </c>
      <c r="E16" s="65">
        <v>294</v>
      </c>
      <c r="F16" s="65">
        <v>408</v>
      </c>
    </row>
    <row r="17" spans="1:6" x14ac:dyDescent="0.35">
      <c r="A17" s="64" t="s">
        <v>552</v>
      </c>
      <c r="B17" s="58">
        <v>1208</v>
      </c>
      <c r="C17" s="65">
        <v>166</v>
      </c>
      <c r="D17" s="65">
        <v>123</v>
      </c>
      <c r="E17" s="65">
        <v>28</v>
      </c>
      <c r="F17" s="65">
        <v>611</v>
      </c>
    </row>
    <row r="18" spans="1:6" x14ac:dyDescent="0.35">
      <c r="A18" s="64" t="s">
        <v>553</v>
      </c>
      <c r="B18" s="65">
        <v>-53</v>
      </c>
      <c r="C18" s="58">
        <v>-10569</v>
      </c>
      <c r="D18" s="65">
        <v>0</v>
      </c>
      <c r="E18" s="65">
        <v>-6</v>
      </c>
      <c r="F18" s="58">
        <v>-2846</v>
      </c>
    </row>
    <row r="19" spans="1:6" x14ac:dyDescent="0.35">
      <c r="A19" s="64" t="s">
        <v>554</v>
      </c>
      <c r="B19" s="65">
        <v>0</v>
      </c>
      <c r="C19" s="65">
        <v>0</v>
      </c>
      <c r="D19" s="65">
        <v>0</v>
      </c>
      <c r="E19" s="65">
        <v>0</v>
      </c>
      <c r="F19" s="65">
        <v>0</v>
      </c>
    </row>
    <row r="20" spans="1:6" ht="15" thickBot="1" x14ac:dyDescent="0.4">
      <c r="A20" s="64" t="s">
        <v>555</v>
      </c>
      <c r="B20" s="58">
        <v>-1315</v>
      </c>
      <c r="C20" s="65">
        <v>609</v>
      </c>
      <c r="D20" s="65">
        <v>-481</v>
      </c>
      <c r="E20" s="65">
        <v>-298</v>
      </c>
      <c r="F20" s="65">
        <v>472</v>
      </c>
    </row>
    <row r="21" spans="1:6" x14ac:dyDescent="0.35">
      <c r="A21" s="184" t="s">
        <v>556</v>
      </c>
      <c r="B21" s="185">
        <v>-23401</v>
      </c>
      <c r="C21" s="185">
        <v>-6981</v>
      </c>
      <c r="D21" s="185">
        <v>-11097</v>
      </c>
      <c r="E21" s="185">
        <v>-7002</v>
      </c>
      <c r="F21" s="185">
        <v>-21387</v>
      </c>
    </row>
    <row r="22" spans="1:6" x14ac:dyDescent="0.35">
      <c r="A22" s="61" t="s">
        <v>557</v>
      </c>
      <c r="B22" s="56">
        <v>326</v>
      </c>
      <c r="C22" s="56">
        <v>1</v>
      </c>
      <c r="D22" s="56">
        <v>0</v>
      </c>
      <c r="E22" s="56">
        <v>0</v>
      </c>
      <c r="F22" s="56">
        <v>0</v>
      </c>
    </row>
    <row r="23" spans="1:6" x14ac:dyDescent="0.35">
      <c r="A23" s="61" t="s">
        <v>558</v>
      </c>
      <c r="B23" s="46">
        <v>12439</v>
      </c>
      <c r="C23" s="46">
        <v>16769</v>
      </c>
      <c r="D23" s="46">
        <v>14120</v>
      </c>
      <c r="E23" s="46">
        <v>23893</v>
      </c>
      <c r="F23" s="46">
        <v>15954</v>
      </c>
    </row>
    <row r="24" spans="1:6" x14ac:dyDescent="0.35">
      <c r="A24" s="61" t="s">
        <v>559</v>
      </c>
      <c r="B24" s="46">
        <v>-26360</v>
      </c>
      <c r="C24" s="46">
        <v>-10226</v>
      </c>
      <c r="D24" s="46">
        <v>-11908</v>
      </c>
      <c r="E24" s="46">
        <v>-17627</v>
      </c>
      <c r="F24" s="46">
        <v>-23916</v>
      </c>
    </row>
    <row r="25" spans="1:6" x14ac:dyDescent="0.35">
      <c r="A25" s="61" t="s">
        <v>560</v>
      </c>
      <c r="B25" s="46">
        <v>-4687</v>
      </c>
      <c r="C25" s="46">
        <v>-6120</v>
      </c>
      <c r="D25" s="46">
        <v>-8145</v>
      </c>
      <c r="E25" s="46">
        <v>-8119</v>
      </c>
      <c r="F25" s="46">
        <v>-8066</v>
      </c>
    </row>
    <row r="26" spans="1:6" x14ac:dyDescent="0.35">
      <c r="A26" s="61" t="s">
        <v>561</v>
      </c>
      <c r="B26" s="46">
        <v>-3020</v>
      </c>
      <c r="C26" s="46">
        <v>-6293</v>
      </c>
      <c r="D26" s="46">
        <v>-4429</v>
      </c>
      <c r="E26" s="46">
        <v>-4490</v>
      </c>
      <c r="F26" s="46">
        <v>-4490</v>
      </c>
    </row>
    <row r="27" spans="1:6" x14ac:dyDescent="0.35">
      <c r="A27" s="61" t="s">
        <v>562</v>
      </c>
      <c r="B27" s="46">
        <v>-1310</v>
      </c>
      <c r="C27" s="46">
        <v>-1114</v>
      </c>
      <c r="D27" s="46">
        <v>-1140</v>
      </c>
      <c r="E27" s="56">
        <v>-971</v>
      </c>
      <c r="F27" s="46">
        <v>-1162</v>
      </c>
    </row>
    <row r="28" spans="1:6" ht="15" thickBot="1" x14ac:dyDescent="0.4">
      <c r="A28" s="61" t="s">
        <v>563</v>
      </c>
      <c r="B28" s="56">
        <v>-789</v>
      </c>
      <c r="C28" s="56">
        <v>2</v>
      </c>
      <c r="D28" s="56">
        <v>404</v>
      </c>
      <c r="E28" s="56">
        <v>312</v>
      </c>
      <c r="F28" s="56">
        <v>293</v>
      </c>
    </row>
    <row r="29" spans="1:6" x14ac:dyDescent="0.35">
      <c r="A29" s="187" t="s">
        <v>35</v>
      </c>
      <c r="B29" s="188">
        <v>10075</v>
      </c>
      <c r="C29" s="188">
        <v>-3477</v>
      </c>
      <c r="D29" s="188">
        <v>-5049</v>
      </c>
      <c r="E29" s="188">
        <v>2524</v>
      </c>
      <c r="F29" s="189">
        <v>-720</v>
      </c>
    </row>
    <row r="30" spans="1:6" x14ac:dyDescent="0.35">
      <c r="A30" s="190" t="s">
        <v>564</v>
      </c>
      <c r="B30" s="191">
        <v>34428</v>
      </c>
      <c r="C30" s="191">
        <v>7868</v>
      </c>
      <c r="D30" s="191">
        <v>2569</v>
      </c>
      <c r="E30" s="191">
        <v>8731</v>
      </c>
      <c r="F30" s="191">
        <v>21906</v>
      </c>
    </row>
    <row r="31" spans="1:6" x14ac:dyDescent="0.35">
      <c r="A31" s="192" t="s">
        <v>565</v>
      </c>
      <c r="B31" s="193">
        <v>0.89</v>
      </c>
      <c r="C31" s="193">
        <v>0.84</v>
      </c>
      <c r="D31" s="193">
        <v>1.1499999999999999</v>
      </c>
      <c r="E31" s="193">
        <v>1.03</v>
      </c>
      <c r="F31" s="193">
        <v>1.1499999999999999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Cover Page </vt:lpstr>
      <vt:lpstr>Key Financial Metric </vt:lpstr>
      <vt:lpstr>Historical </vt:lpstr>
      <vt:lpstr>Ratio Analysis </vt:lpstr>
      <vt:lpstr>Beneish -M Score </vt:lpstr>
      <vt:lpstr>Comparative Income Statement </vt:lpstr>
      <vt:lpstr>Comparative Balance Sheet  </vt:lpstr>
      <vt:lpstr>Common Balance Sheet</vt:lpstr>
      <vt:lpstr>Common Income Statement</vt:lpstr>
      <vt:lpstr>Altman's scroe</vt:lpstr>
      <vt:lpstr>Dupont Analysis</vt:lpstr>
      <vt:lpstr>Assumption and Drivers</vt:lpstr>
      <vt:lpstr>Forecasted Cash Flow </vt:lpstr>
      <vt:lpstr>Forcasted Balance Sheet </vt:lpstr>
      <vt:lpstr>Forecasted Income Statement </vt:lpstr>
      <vt:lpstr>Relative Valuation </vt:lpstr>
      <vt:lpstr>WACC</vt:lpstr>
      <vt:lpstr>Inputs</vt:lpstr>
      <vt:lpstr>DCF</vt:lpstr>
      <vt:lpstr>Football Feild Analysis</vt:lpstr>
      <vt:lpstr>Data Room</vt:lpstr>
      <vt:lpstr>Sheet3</vt:lpstr>
      <vt:lpstr>Profit &amp; Loss</vt:lpstr>
      <vt:lpstr>Quarters</vt:lpstr>
      <vt:lpstr>Balance Sheet</vt:lpstr>
      <vt:lpstr>Cash Flow</vt:lpstr>
      <vt:lpstr>Customization</vt:lpstr>
      <vt:lpstr>Data Sheet</vt:lpstr>
      <vt:lpstr>Cash Flow </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vanshika maheshwari</cp:lastModifiedBy>
  <cp:lastPrinted>2026-08-04T09:26:21Z</cp:lastPrinted>
  <dcterms:created xsi:type="dcterms:W3CDTF">2012-08-17T09:55:37Z</dcterms:created>
  <dcterms:modified xsi:type="dcterms:W3CDTF">2026-08-15T05:33:07Z</dcterms:modified>
</cp:coreProperties>
</file>